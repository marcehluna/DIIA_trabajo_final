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https://d.docs.live.net/0b358109354d87fd/Diplomaturas/01. Inteligencia Artificial Aplicada/Materias/04. Procesamiento de Lenguaje Natural/99. DIIA-PLN-TP-Final/"/>
    </mc:Choice>
  </mc:AlternateContent>
  <xr:revisionPtr revIDLastSave="271" documentId="11_2C447A9E1C490587C5EB8AD627D4F21B5C78B259" xr6:coauthVersionLast="47" xr6:coauthVersionMax="47" xr10:uidLastSave="{D593CC31-402B-2B4B-B0DA-6A9493322C0C}"/>
  <bookViews>
    <workbookView xWindow="33680" yWindow="1940" windowWidth="33660" windowHeight="17360" activeTab="1" xr2:uid="{00000000-000D-0000-FFFF-FFFF00000000}"/>
  </bookViews>
  <sheets>
    <sheet name="Casos de Regatas y sus Títulos" sheetId="1" r:id="rId1"/>
    <sheet name="Resultados" sheetId="2" r:id="rId2"/>
    <sheet name="Análi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</calcChain>
</file>

<file path=xl/sharedStrings.xml><?xml version="1.0" encoding="utf-8"?>
<sst xmlns="http://schemas.openxmlformats.org/spreadsheetml/2006/main" count="128" uniqueCount="71">
  <si>
    <t>ID</t>
  </si>
  <si>
    <t>Título del Escenario</t>
  </si>
  <si>
    <t>Input (Relato del Incidente)</t>
  </si>
  <si>
    <t>Output Ideal Esperado (Ground Truth)</t>
  </si>
  <si>
    <t>Orzada brusca sin espacio para mantenerse alejado</t>
  </si>
  <si>
    <t>Sobre-rotación del barco de barlovento proa al viento</t>
  </si>
  <si>
    <t>Retraso en la respuesta al solapamiento desde atrás</t>
  </si>
  <si>
    <t>Derecho a espacio de marca y pérdida por virada</t>
  </si>
  <si>
    <t>Cambio de rumbo táctico en babor-estribor (Anti-Hunt)</t>
  </si>
  <si>
    <t>Incapacidad física de dar espacio de marca al solapar</t>
  </si>
  <si>
    <t>Interferencia durante el cumplimiento de una penalización</t>
  </si>
  <si>
    <t>B está cumpliendo una penalización de una vuelta. Mientras gira, Y (que no está en penalización) tiene que desviarse para evitar chocar con B.</t>
  </si>
  <si>
    <t>Eliminación de la Regla 18.4 en Team Racing</t>
  </si>
  <si>
    <t>Virada completada libre por proa en la zona</t>
  </si>
  <si>
    <t>Y vira en la zona de la marca de barlovento por delante de B. Y completa su virada y queda libre por proa, pero B debe caer inmediatamente para evitar chocar con la popa de Y.</t>
  </si>
  <si>
    <t>Contacto antes de completar la virada tras cruce</t>
  </si>
  <si>
    <t>Táctica de frenado en la marca (The Trap)</t>
  </si>
  <si>
    <t>Tres barcos (B, X, Y) se acercan a una boya por babor. X es el barco más a sotavento y líder. Y y B están solapados por fuera. X frena bruscamente para "atrapar" a B y permitir que su compañero Y pase por el interior. B choca con X.</t>
  </si>
  <si>
    <t>Provocación de contacto deliberado (Antideportivo)</t>
  </si>
  <si>
    <t>Trasluchada para "apagar" la restricción de la Regla 17</t>
  </si>
  <si>
    <t>Interferencia de un barco que ya terminó la regata</t>
  </si>
  <si>
    <t>Virada en proa obligando a maniobra evitativa inmediata</t>
  </si>
  <si>
    <t>B y Y navegan en la misma amura (babor), solapados. Y es el barco de sotavento. Y comienza a orzar lentamente. B responde de inmediato, pero Y continúa orzando hasta que B ya no puede evitar el contacto. Hay contacto leve.</t>
  </si>
  <si>
    <t>En la pre-salida, Y (sotavento) y B (barlovento) están solapados. Y orza hacia una posición de "proa al viento". B orza en respuesta. B continúa rotando y pasa de la posición de proa al viento, chocando con el costado de Y.</t>
  </si>
  <si>
    <t>B establece un solapamiento desde atrás a sotavento de Y muy cerca de la línea de salida. Y puede mantenerse alejada acelerando, pero tarda en reaccionar y luego decide orzar, golpeando a B.</t>
  </si>
  <si>
    <t>Y y B se acercan a una boya de barlovento que debe dejarse por babor. B llega a la zona libre por proa de Y. B orza para virar (tack) frente a la boya, pero la presencia de Y por su costado le impide completar la virada.</t>
  </si>
  <si>
    <t>B (estribor) y Y (babor) convergen en ceñida. A 3 esloras, Y vira para pasar por popa de B. B entonces también cae (bear away) manteniendo el rumbo de colisión. Y debe volver a caer bruscamente para evitar a B.</t>
  </si>
  <si>
    <t>Y y B se acercan a una marca de barlovento a dejar por estribor. Y entra en la zona libre por popa de B. Y gana un solapamiento por el interior de B y reclama espacio. B no tiene espacio físico para dejar virar a Y sin chocar.</t>
  </si>
  <si>
    <t>Y y B solapados en babor hacia la boya de sotavento. Y es interior. Y traslucha a estribor en la zona y orza a B para alejarla de la marca. B es obligada a trasluchar.</t>
  </si>
  <si>
    <t>B (estribor) cruza por delante de Y (babor). Después de cruzar, B orza y vira a babor. Durante la virada, B choca con Y antes de llegar a rumbo de ceñida.</t>
  </si>
  <si>
    <t>Y navega por la amura de babor. B navega por la amura de estribor. Y tiene que virar para evitar a B, pero durante la maniobra el tripulante de B empuja la botavara hacia afuera deliberadamente para tocar a Y.</t>
  </si>
  <si>
    <t>B y Y están en el tramo de popa, solapados en la misma amura. B es sotavento y tiene restricción de rumbo debido (Regla 17). B traslucha a la amura de babor y vuelve a trasluchar a estribor de inmediato para orzar a Y.</t>
  </si>
  <si>
    <t>Y ha terminado la regata y está navegando de regreso. En su camino, pasa cerca de B que aún está compitiendo, obligando a B a virar para evitarla.</t>
  </si>
  <si>
    <t>B (estribor) y Y (babor) en ceñida. B está claramente por delante y Y pasaría por su popa sin problemas. B decide virar justo en la proa de Y, obligando a Y a virar de inmediato para evitar el choque.</t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</si>
  <si>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(barlovento) y Y (sotavento) solapados. Y orza y B responde prontamente. Y sigue orzando hasta que B no puede evitarla. 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16.1 e interpretación TR CALL A3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Aunque Y es el barco con derecho de paso, al cambiar de curso debe dar espacio para que el barco que debe mantenerse alejado lo haga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</si>
  <si>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y B solapados. Y orza a proa al viento y B responde. B sobre-rota y choca con Y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Reglas 11 o 13 según TR CALL B2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Y dio espacio inicial para que B respondiera. El contacto fue causado por la sobre-rotación de B (error de maniobra), no por falta de espacio de Y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</si>
  <si>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gana solapamiento desde atrás. Y puede mantenerse alejada acelerando pero demora su respuesta y luego orza chocando a B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11 según TR CALL B1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B cumplió la Regla 15 al dar espacio inicial para que Y reaccionara de forma marinera. Y falló al demorar su respuesta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</si>
  <si>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entra a la zona libre por proa de Y. B quiere virar pero Y se lo impide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Reglas 18.2(a)(2) y 12 según TR CALL E1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Y debe dar espacio de marca a B. Sin embargo, si B pasa de la posición de proa al viento, pierde su derecho a espacio de marca bajo la Regla 18.2(d)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mientras B no pase de proa al viento.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</si>
  <si>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en estribor, Y en babor. Y intenta pasar por popa de B. B cae hacia Y obligándola a maniobrar de nuevo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16.2 según TR CALL D2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En ceñida, un barco de estribor no puede cambiar de rumbo si obliga al barco de babor (que intenta pasar por popa) a cambiar de rumbo inmediatamente para seguir manteniéndose alejado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</si>
  <si>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entra a la zona libre por popa. Y gana solapamiento interior. B no tiene espacio para dejar virar a Y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18.2(a) según TR CALL E2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Si el barco exterior (B) es incapaz de dar espacio de marca desde el momento en que se crea el solapamiento, no está obligado a darlo según la Regla 18.2(d)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 (si vira y choca).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</si>
  <si>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tomando penalización. Y debe evitarla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21.2 según TR CALL L2 o L5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Un barco que está tomando una penalización debe mantenerse alejado de uno que no lo está haciendo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</si>
  <si>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interior solapado. Y traslucha a estribor en la zona y orza a B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18.2(a)(1) y Apéndice D (D1.1c) según TR CALL J5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En Team Racing, la Regla 18.4 se borra, por lo que el barco con derecho a espacio de marca no tiene obligación de trasluchar de inmediato y puede orzar al otro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para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</si>
  <si>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vira en la zona. B debe caer para evitarla después de que Y completó su virada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12 e interpretación TR CALL E6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Si Y completa su virada sin obligar a B a maniobrar durante la misma (Regla 13) y sin riesgo de contacto inmediato (Regla 15), B ahora es el barco que viene por popa y debe mantenerse alejado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para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</si>
  <si>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cruza a Y. B vira y choca con Y antes de completar la virada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13 según TR CALL D4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B perdió su derecho de paso al virar. Mientras un barco vira, debe mantenerse alejado de los demás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</si>
  <si>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X frena en la marca para atrapar a B. B choca con X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11 y 18.2 según TR CALL J9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X es el barco con derecho de paso y espacio de marca. B (barlovento) debe mantenerse alejada de X independientemente de la táctica de equipo de X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</si>
  <si>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en babor, B en estribor. Y vira para evitar a B. B empuja la botavara para causar contacto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10 y D2.3(f) según TR CALL L1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Es un incumplimiento de la deportividad provocar contacto deliberadamente cuando el otro barco estaba manteniéndose alejado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 Exonerar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</si>
  <si>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traslucha dos veces. B orza a Y tras las trasluchadas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17 según TR CALL G3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Si la trasluchada es real (la vela se llena en la nueva amura), el solapamiento original se rompe y con él la restricción de la Regla 17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para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</si>
  <si>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ha terminado. B sigue compitiendo. Y obliga a B a maniobrar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D1.1(e) según TR CALL K1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Un barco que ha terminado no debe interferir con un barco que aún está compitiendo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</si>
  <si>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vira frente a Y. Y debe virar para evitar contacto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13 y 15 según TR CALL D3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B al virar adquiere derecho de paso pero debe dar espacio inicialmente a Y para que se mantenga alejada de forma marinera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</si>
  <si>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t>Prompt Español</t>
  </si>
  <si>
    <t>Prompt inglés</t>
  </si>
  <si>
    <t>Chain-of-Thought (CoT)</t>
  </si>
  <si>
    <t>Few-Shot 
Chain-of-Thought (FS CoT)</t>
  </si>
  <si>
    <t>Comentarios</t>
  </si>
  <si>
    <t>Ok</t>
  </si>
  <si>
    <t>Falla</t>
  </si>
  <si>
    <t>CoT - ES: El resultado es correcto, pero el modelo alucina en el rationale y en la regla aplicable</t>
  </si>
  <si>
    <t xml:space="preserve">CoT - ES: Solo aplica la regla 11 pero no aplica la regla 16.1 </t>
  </si>
  <si>
    <t>CoT - EN:</t>
  </si>
  <si>
    <t>FS CoT - ES:</t>
  </si>
  <si>
    <t>FS CoT - EN:</t>
  </si>
  <si>
    <t xml:space="preserve">CoT - ES: </t>
  </si>
  <si>
    <t>CoT - ES: Alucina en el rationale y con las reglas</t>
  </si>
  <si>
    <t>CoT - ES: El modelo interpreta el escenario de manera particular (asume que el barco B completó la virada)</t>
  </si>
  <si>
    <t>CoT - ES: No explicita todas las reglas que deberían considerarse</t>
  </si>
  <si>
    <t>CoT - ES: El modelo asume que el barco Y vira y choca</t>
  </si>
  <si>
    <t>CoT - ES: Las reglas mencionadas no se ajustan al Ground Thruth</t>
  </si>
  <si>
    <t>CoT - ES: Identifica bien la regla, pero interpreta mal los puntos de aplicación</t>
  </si>
  <si>
    <t>CoT - ES: El modelo asume que B choca, y toma la decisión correcta penalizando. La reglas de aplicación tienen sentido</t>
  </si>
  <si>
    <t>CoT - ES: El análisis de modelo es correcto, pero hay una "zona gris" del escenario que probablemente causa confusión</t>
  </si>
  <si>
    <t>CoT - ES: Razonamiento incorrecto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</si>
</sst>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7"/>
  <sheetViews>
    <sheetView topLeftCell="A10" zoomScale="132" zoomScaleNormal="132" workbookViewId="0">
      <selection activeCell="C13" sqref="C13"/>
    </sheetView>
  </sheetViews>
  <sheetFormatPr baseColWidth="10" defaultColWidth="12.6640625" defaultRowHeight="15.75" customHeight="1" x14ac:dyDescent="0.15"/>
  <cols>
    <col min="2" max="2" width="35" customWidth="1"/>
    <col min="3" max="3" width="71.5" customWidth="1"/>
    <col min="4" max="4" width="86" customWidth="1"/>
  </cols>
  <sheetData>
    <row r="2" spans="1:5" ht="15.75" customHeight="1" x14ac:dyDescent="0.15">
      <c r="A2" s="5" t="s">
        <v>0</v>
      </c>
      <c r="B2" s="5" t="s">
        <v>1</v>
      </c>
      <c r="C2" s="5" t="s">
        <v>2</v>
      </c>
      <c r="D2" s="5" t="s">
        <v>3</v>
      </c>
    </row>
    <row r="3" spans="1:5" ht="77" customHeight="1" x14ac:dyDescent="0.15">
      <c r="A3" s="2">
        <v>1</v>
      </c>
      <c r="B3" s="3" t="s">
        <v>4</v>
      </c>
      <c r="C3" s="4" t="s">
        <v>22</v>
      </c>
      <c r="D3" s="4" t="s">
        <v>34</v>
      </c>
      <c r="E3" s="1"/>
    </row>
    <row r="4" spans="1:5" ht="70" x14ac:dyDescent="0.15">
      <c r="A4" s="2">
        <v>2</v>
      </c>
      <c r="B4" s="3" t="s">
        <v>5</v>
      </c>
      <c r="C4" s="4" t="s">
        <v>23</v>
      </c>
      <c r="D4" s="4" t="s">
        <v>35</v>
      </c>
    </row>
    <row r="5" spans="1:5" ht="84" x14ac:dyDescent="0.15">
      <c r="A5" s="2">
        <v>3</v>
      </c>
      <c r="B5" s="3" t="s">
        <v>6</v>
      </c>
      <c r="C5" s="4" t="s">
        <v>24</v>
      </c>
      <c r="D5" s="4" t="s">
        <v>36</v>
      </c>
    </row>
    <row r="6" spans="1:5" ht="70" x14ac:dyDescent="0.15">
      <c r="A6" s="2">
        <v>4</v>
      </c>
      <c r="B6" s="3" t="s">
        <v>7</v>
      </c>
      <c r="C6" s="4" t="s">
        <v>25</v>
      </c>
      <c r="D6" s="4" t="s">
        <v>37</v>
      </c>
    </row>
    <row r="7" spans="1:5" ht="84" x14ac:dyDescent="0.15">
      <c r="A7" s="2">
        <v>5</v>
      </c>
      <c r="B7" s="3" t="s">
        <v>8</v>
      </c>
      <c r="C7" s="4" t="s">
        <v>26</v>
      </c>
      <c r="D7" s="4" t="s">
        <v>38</v>
      </c>
    </row>
    <row r="8" spans="1:5" ht="84" x14ac:dyDescent="0.15">
      <c r="A8" s="2">
        <v>6</v>
      </c>
      <c r="B8" s="3" t="s">
        <v>9</v>
      </c>
      <c r="C8" s="4" t="s">
        <v>27</v>
      </c>
      <c r="D8" s="4" t="s">
        <v>39</v>
      </c>
    </row>
    <row r="9" spans="1:5" ht="70" x14ac:dyDescent="0.15">
      <c r="A9" s="2">
        <v>7</v>
      </c>
      <c r="B9" s="3" t="s">
        <v>10</v>
      </c>
      <c r="C9" s="4" t="s">
        <v>11</v>
      </c>
      <c r="D9" s="4" t="s">
        <v>40</v>
      </c>
    </row>
    <row r="10" spans="1:5" ht="70" x14ac:dyDescent="0.15">
      <c r="A10" s="2">
        <v>8</v>
      </c>
      <c r="B10" s="3" t="s">
        <v>12</v>
      </c>
      <c r="C10" s="4" t="s">
        <v>28</v>
      </c>
      <c r="D10" s="4" t="s">
        <v>41</v>
      </c>
    </row>
    <row r="11" spans="1:5" ht="70" x14ac:dyDescent="0.15">
      <c r="A11" s="2">
        <v>9</v>
      </c>
      <c r="B11" s="3" t="s">
        <v>13</v>
      </c>
      <c r="C11" s="4" t="s">
        <v>14</v>
      </c>
      <c r="D11" s="4" t="s">
        <v>42</v>
      </c>
    </row>
    <row r="12" spans="1:5" ht="70" x14ac:dyDescent="0.15">
      <c r="A12" s="2">
        <v>10</v>
      </c>
      <c r="B12" s="3" t="s">
        <v>15</v>
      </c>
      <c r="C12" s="4" t="s">
        <v>29</v>
      </c>
      <c r="D12" s="4" t="s">
        <v>43</v>
      </c>
    </row>
    <row r="13" spans="1:5" ht="70" x14ac:dyDescent="0.15">
      <c r="A13" s="2">
        <v>11</v>
      </c>
      <c r="B13" s="3" t="s">
        <v>16</v>
      </c>
      <c r="C13" s="4" t="s">
        <v>17</v>
      </c>
      <c r="D13" s="4" t="s">
        <v>44</v>
      </c>
    </row>
    <row r="14" spans="1:5" ht="70" x14ac:dyDescent="0.15">
      <c r="A14" s="2">
        <v>12</v>
      </c>
      <c r="B14" s="3" t="s">
        <v>18</v>
      </c>
      <c r="C14" s="4" t="s">
        <v>30</v>
      </c>
      <c r="D14" s="4" t="s">
        <v>45</v>
      </c>
    </row>
    <row r="15" spans="1:5" ht="70" x14ac:dyDescent="0.15">
      <c r="A15" s="2">
        <v>13</v>
      </c>
      <c r="B15" s="3" t="s">
        <v>19</v>
      </c>
      <c r="C15" s="4" t="s">
        <v>31</v>
      </c>
      <c r="D15" s="4" t="s">
        <v>46</v>
      </c>
    </row>
    <row r="16" spans="1:5" ht="56" x14ac:dyDescent="0.15">
      <c r="A16" s="2">
        <v>14</v>
      </c>
      <c r="B16" s="3" t="s">
        <v>20</v>
      </c>
      <c r="C16" s="4" t="s">
        <v>32</v>
      </c>
      <c r="D16" s="4" t="s">
        <v>47</v>
      </c>
    </row>
    <row r="17" spans="1:4" ht="70" x14ac:dyDescent="0.15">
      <c r="A17" s="2">
        <v>15</v>
      </c>
      <c r="B17" s="3" t="s">
        <v>21</v>
      </c>
      <c r="C17" s="4" t="s">
        <v>33</v>
      </c>
      <c r="D17" s="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A499-0016-9E48-AD79-F5B2F70F2B84}">
  <dimension ref="A1:G64"/>
  <sheetViews>
    <sheetView tabSelected="1" topLeftCell="A11" zoomScaleNormal="100" workbookViewId="0">
      <selection activeCell="K37" sqref="K37"/>
    </sheetView>
  </sheetViews>
  <sheetFormatPr baseColWidth="10" defaultRowHeight="13" x14ac:dyDescent="0.15"/>
  <cols>
    <col min="3" max="3" width="14" bestFit="1" customWidth="1"/>
    <col min="4" max="4" width="12.33203125" bestFit="1" customWidth="1"/>
    <col min="5" max="5" width="14" bestFit="1" customWidth="1"/>
    <col min="6" max="6" width="15.83203125" customWidth="1"/>
    <col min="7" max="7" width="85.83203125" bestFit="1" customWidth="1"/>
  </cols>
  <sheetData>
    <row r="1" spans="1:7" x14ac:dyDescent="0.15">
      <c r="A1" s="1"/>
    </row>
    <row r="3" spans="1:7" ht="29" customHeight="1" x14ac:dyDescent="0.15">
      <c r="B3" s="10" t="s">
        <v>0</v>
      </c>
      <c r="C3" s="6" t="s">
        <v>51</v>
      </c>
      <c r="D3" s="7"/>
      <c r="E3" s="8" t="s">
        <v>52</v>
      </c>
      <c r="F3" s="7"/>
      <c r="G3" s="12" t="s">
        <v>53</v>
      </c>
    </row>
    <row r="4" spans="1:7" x14ac:dyDescent="0.15">
      <c r="B4" s="11"/>
      <c r="C4" s="9" t="s">
        <v>49</v>
      </c>
      <c r="D4" s="9" t="s">
        <v>50</v>
      </c>
      <c r="E4" s="9" t="s">
        <v>49</v>
      </c>
      <c r="F4" s="9" t="s">
        <v>50</v>
      </c>
      <c r="G4" s="13"/>
    </row>
    <row r="5" spans="1:7" ht="14" x14ac:dyDescent="0.15">
      <c r="B5" s="14">
        <v>1</v>
      </c>
      <c r="C5" s="25" t="s">
        <v>54</v>
      </c>
      <c r="D5" s="26"/>
      <c r="E5" s="26"/>
      <c r="F5" s="26"/>
      <c r="G5" s="27" t="s">
        <v>56</v>
      </c>
    </row>
    <row r="6" spans="1:7" ht="14" x14ac:dyDescent="0.15">
      <c r="B6" s="15"/>
      <c r="C6" s="17"/>
      <c r="D6" s="18"/>
      <c r="E6" s="18"/>
      <c r="F6" s="18"/>
      <c r="G6" s="27" t="s">
        <v>58</v>
      </c>
    </row>
    <row r="7" spans="1:7" ht="14" x14ac:dyDescent="0.15">
      <c r="B7" s="15"/>
      <c r="C7" s="17"/>
      <c r="D7" s="18"/>
      <c r="E7" s="18"/>
      <c r="F7" s="18"/>
      <c r="G7" s="27" t="s">
        <v>59</v>
      </c>
    </row>
    <row r="8" spans="1:7" ht="14" x14ac:dyDescent="0.15">
      <c r="B8" s="16"/>
      <c r="C8" s="17"/>
      <c r="D8" s="18"/>
      <c r="E8" s="18"/>
      <c r="F8" s="18"/>
      <c r="G8" s="27" t="s">
        <v>60</v>
      </c>
    </row>
    <row r="9" spans="1:7" ht="14" x14ac:dyDescent="0.15">
      <c r="B9" s="14">
        <v>2</v>
      </c>
      <c r="C9" s="17" t="s">
        <v>55</v>
      </c>
      <c r="D9" s="18"/>
      <c r="E9" s="18"/>
      <c r="F9" s="18"/>
      <c r="G9" s="27" t="s">
        <v>57</v>
      </c>
    </row>
    <row r="10" spans="1:7" ht="14" x14ac:dyDescent="0.15">
      <c r="B10" s="15"/>
      <c r="C10" s="17"/>
      <c r="D10" s="18"/>
      <c r="E10" s="18"/>
      <c r="F10" s="18"/>
      <c r="G10" s="27" t="s">
        <v>58</v>
      </c>
    </row>
    <row r="11" spans="1:7" ht="14" x14ac:dyDescent="0.15">
      <c r="B11" s="15"/>
      <c r="C11" s="17"/>
      <c r="D11" s="18"/>
      <c r="E11" s="18"/>
      <c r="F11" s="18"/>
      <c r="G11" s="27" t="s">
        <v>59</v>
      </c>
    </row>
    <row r="12" spans="1:7" ht="14" x14ac:dyDescent="0.15">
      <c r="B12" s="16"/>
      <c r="C12" s="17"/>
      <c r="D12" s="18"/>
      <c r="E12" s="18"/>
      <c r="F12" s="18"/>
      <c r="G12" s="27" t="s">
        <v>60</v>
      </c>
    </row>
    <row r="13" spans="1:7" ht="14" x14ac:dyDescent="0.15">
      <c r="B13" s="14">
        <v>3</v>
      </c>
      <c r="C13" s="17" t="s">
        <v>54</v>
      </c>
      <c r="D13" s="18"/>
      <c r="E13" s="18"/>
      <c r="F13" s="18"/>
      <c r="G13" s="27" t="s">
        <v>62</v>
      </c>
    </row>
    <row r="14" spans="1:7" ht="14" x14ac:dyDescent="0.15">
      <c r="B14" s="15"/>
      <c r="C14" s="17"/>
      <c r="D14" s="18"/>
      <c r="E14" s="18"/>
      <c r="F14" s="18"/>
      <c r="G14" s="27" t="s">
        <v>58</v>
      </c>
    </row>
    <row r="15" spans="1:7" ht="14" x14ac:dyDescent="0.15">
      <c r="B15" s="15"/>
      <c r="C15" s="17"/>
      <c r="D15" s="18"/>
      <c r="E15" s="18"/>
      <c r="F15" s="18"/>
      <c r="G15" s="27" t="s">
        <v>59</v>
      </c>
    </row>
    <row r="16" spans="1:7" ht="14" x14ac:dyDescent="0.15">
      <c r="B16" s="16"/>
      <c r="C16" s="17"/>
      <c r="D16" s="18"/>
      <c r="E16" s="18"/>
      <c r="F16" s="18"/>
      <c r="G16" s="27" t="s">
        <v>60</v>
      </c>
    </row>
    <row r="17" spans="2:7" ht="28" x14ac:dyDescent="0.15">
      <c r="B17" s="14">
        <v>4</v>
      </c>
      <c r="C17" s="17" t="s">
        <v>55</v>
      </c>
      <c r="D17" s="18"/>
      <c r="E17" s="18"/>
      <c r="F17" s="18"/>
      <c r="G17" s="27" t="s">
        <v>63</v>
      </c>
    </row>
    <row r="18" spans="2:7" ht="14" x14ac:dyDescent="0.15">
      <c r="B18" s="15"/>
      <c r="C18" s="17"/>
      <c r="D18" s="18"/>
      <c r="E18" s="18"/>
      <c r="F18" s="18"/>
      <c r="G18" s="27" t="s">
        <v>58</v>
      </c>
    </row>
    <row r="19" spans="2:7" ht="14" x14ac:dyDescent="0.15">
      <c r="B19" s="15"/>
      <c r="C19" s="17"/>
      <c r="D19" s="18"/>
      <c r="E19" s="18"/>
      <c r="F19" s="18"/>
      <c r="G19" s="27" t="s">
        <v>59</v>
      </c>
    </row>
    <row r="20" spans="2:7" ht="14" x14ac:dyDescent="0.15">
      <c r="B20" s="16"/>
      <c r="C20" s="17"/>
      <c r="D20" s="18"/>
      <c r="E20" s="18"/>
      <c r="F20" s="18"/>
      <c r="G20" s="27" t="s">
        <v>60</v>
      </c>
    </row>
    <row r="21" spans="2:7" ht="14" x14ac:dyDescent="0.15">
      <c r="B21" s="19">
        <v>5</v>
      </c>
      <c r="C21" s="17" t="s">
        <v>54</v>
      </c>
      <c r="D21" s="22"/>
      <c r="E21" s="22"/>
      <c r="F21" s="22"/>
      <c r="G21" s="27" t="s">
        <v>64</v>
      </c>
    </row>
    <row r="22" spans="2:7" ht="14" x14ac:dyDescent="0.15">
      <c r="B22" s="20"/>
      <c r="C22" s="17"/>
      <c r="D22" s="22"/>
      <c r="E22" s="22"/>
      <c r="F22" s="22"/>
      <c r="G22" s="27" t="s">
        <v>58</v>
      </c>
    </row>
    <row r="23" spans="2:7" ht="14" x14ac:dyDescent="0.15">
      <c r="B23" s="20"/>
      <c r="C23" s="17"/>
      <c r="D23" s="22"/>
      <c r="E23" s="22"/>
      <c r="F23" s="22"/>
      <c r="G23" s="27" t="s">
        <v>59</v>
      </c>
    </row>
    <row r="24" spans="2:7" ht="14" x14ac:dyDescent="0.15">
      <c r="B24" s="21"/>
      <c r="C24" s="17"/>
      <c r="D24" s="22"/>
      <c r="E24" s="22"/>
      <c r="F24" s="22"/>
      <c r="G24" s="27" t="s">
        <v>60</v>
      </c>
    </row>
    <row r="25" spans="2:7" ht="14" x14ac:dyDescent="0.15">
      <c r="B25" s="19">
        <v>6</v>
      </c>
      <c r="C25" s="17" t="s">
        <v>54</v>
      </c>
      <c r="D25" s="22"/>
      <c r="E25" s="22"/>
      <c r="F25" s="22"/>
      <c r="G25" s="27" t="s">
        <v>65</v>
      </c>
    </row>
    <row r="26" spans="2:7" ht="14" x14ac:dyDescent="0.15">
      <c r="B26" s="20"/>
      <c r="C26" s="17"/>
      <c r="D26" s="22"/>
      <c r="E26" s="22"/>
      <c r="F26" s="22"/>
      <c r="G26" s="27" t="s">
        <v>58</v>
      </c>
    </row>
    <row r="27" spans="2:7" ht="14" x14ac:dyDescent="0.15">
      <c r="B27" s="20"/>
      <c r="C27" s="17"/>
      <c r="D27" s="22"/>
      <c r="E27" s="22"/>
      <c r="F27" s="22"/>
      <c r="G27" s="27" t="s">
        <v>59</v>
      </c>
    </row>
    <row r="28" spans="2:7" ht="14" x14ac:dyDescent="0.15">
      <c r="B28" s="23"/>
      <c r="C28" s="17"/>
      <c r="D28" s="22"/>
      <c r="E28" s="22"/>
      <c r="F28" s="22"/>
      <c r="G28" s="27" t="s">
        <v>60</v>
      </c>
    </row>
    <row r="29" spans="2:7" ht="14" x14ac:dyDescent="0.15">
      <c r="B29" s="24">
        <v>7</v>
      </c>
      <c r="C29" s="17" t="s">
        <v>55</v>
      </c>
      <c r="D29" s="22"/>
      <c r="E29" s="22"/>
      <c r="F29" s="22"/>
      <c r="G29" s="27" t="s">
        <v>66</v>
      </c>
    </row>
    <row r="30" spans="2:7" ht="14" x14ac:dyDescent="0.15">
      <c r="B30" s="20"/>
      <c r="C30" s="17"/>
      <c r="D30" s="22"/>
      <c r="E30" s="22"/>
      <c r="F30" s="22"/>
      <c r="G30" s="27" t="s">
        <v>58</v>
      </c>
    </row>
    <row r="31" spans="2:7" ht="14" x14ac:dyDescent="0.15">
      <c r="B31" s="20"/>
      <c r="C31" s="17"/>
      <c r="D31" s="22"/>
      <c r="E31" s="22"/>
      <c r="F31" s="22"/>
      <c r="G31" s="27" t="s">
        <v>59</v>
      </c>
    </row>
    <row r="32" spans="2:7" ht="14" x14ac:dyDescent="0.15">
      <c r="B32" s="23"/>
      <c r="C32" s="17"/>
      <c r="D32" s="22"/>
      <c r="E32" s="22"/>
      <c r="F32" s="22"/>
      <c r="G32" s="27" t="s">
        <v>60</v>
      </c>
    </row>
    <row r="33" spans="2:7" ht="14" x14ac:dyDescent="0.15">
      <c r="B33" s="24">
        <v>8</v>
      </c>
      <c r="C33" s="17" t="s">
        <v>55</v>
      </c>
      <c r="D33" s="22"/>
      <c r="E33" s="22"/>
      <c r="F33" s="22"/>
      <c r="G33" s="27" t="s">
        <v>67</v>
      </c>
    </row>
    <row r="34" spans="2:7" ht="14" x14ac:dyDescent="0.15">
      <c r="B34" s="20"/>
      <c r="C34" s="17"/>
      <c r="D34" s="22"/>
      <c r="E34" s="22"/>
      <c r="F34" s="22"/>
      <c r="G34" s="27" t="s">
        <v>58</v>
      </c>
    </row>
    <row r="35" spans="2:7" ht="14" x14ac:dyDescent="0.15">
      <c r="B35" s="20"/>
      <c r="C35" s="17"/>
      <c r="D35" s="22"/>
      <c r="E35" s="22"/>
      <c r="F35" s="22"/>
      <c r="G35" s="27" t="s">
        <v>59</v>
      </c>
    </row>
    <row r="36" spans="2:7" ht="14" x14ac:dyDescent="0.15">
      <c r="B36" s="23"/>
      <c r="C36" s="17"/>
      <c r="D36" s="22"/>
      <c r="E36" s="22"/>
      <c r="F36" s="22"/>
      <c r="G36" s="27" t="s">
        <v>60</v>
      </c>
    </row>
    <row r="37" spans="2:7" ht="28" x14ac:dyDescent="0.15">
      <c r="B37" s="24">
        <v>9</v>
      </c>
      <c r="C37" s="17" t="s">
        <v>54</v>
      </c>
      <c r="D37" s="22"/>
      <c r="E37" s="22"/>
      <c r="F37" s="22"/>
      <c r="G37" s="27" t="s">
        <v>68</v>
      </c>
    </row>
    <row r="38" spans="2:7" ht="14" x14ac:dyDescent="0.15">
      <c r="B38" s="20"/>
      <c r="C38" s="17"/>
      <c r="D38" s="22"/>
      <c r="E38" s="22"/>
      <c r="F38" s="22"/>
      <c r="G38" s="27" t="s">
        <v>58</v>
      </c>
    </row>
    <row r="39" spans="2:7" ht="14" x14ac:dyDescent="0.15">
      <c r="B39" s="20"/>
      <c r="C39" s="17"/>
      <c r="D39" s="22"/>
      <c r="E39" s="22"/>
      <c r="F39" s="22"/>
      <c r="G39" s="27" t="s">
        <v>59</v>
      </c>
    </row>
    <row r="40" spans="2:7" ht="14" x14ac:dyDescent="0.15">
      <c r="B40" s="23"/>
      <c r="C40" s="17"/>
      <c r="D40" s="22"/>
      <c r="E40" s="22"/>
      <c r="F40" s="22"/>
      <c r="G40" s="27" t="s">
        <v>60</v>
      </c>
    </row>
    <row r="41" spans="2:7" ht="28" x14ac:dyDescent="0.15">
      <c r="B41" s="24">
        <v>10</v>
      </c>
      <c r="C41" s="17" t="s">
        <v>55</v>
      </c>
      <c r="D41" s="22"/>
      <c r="E41" s="22"/>
      <c r="F41" s="22"/>
      <c r="G41" s="27" t="s">
        <v>69</v>
      </c>
    </row>
    <row r="42" spans="2:7" ht="14" x14ac:dyDescent="0.15">
      <c r="B42" s="20"/>
      <c r="C42" s="17"/>
      <c r="D42" s="22"/>
      <c r="E42" s="22"/>
      <c r="F42" s="22"/>
      <c r="G42" s="27" t="s">
        <v>58</v>
      </c>
    </row>
    <row r="43" spans="2:7" ht="14" x14ac:dyDescent="0.15">
      <c r="B43" s="20"/>
      <c r="C43" s="17"/>
      <c r="D43" s="22"/>
      <c r="E43" s="22"/>
      <c r="F43" s="22"/>
      <c r="G43" s="27" t="s">
        <v>59</v>
      </c>
    </row>
    <row r="44" spans="2:7" ht="14" x14ac:dyDescent="0.15">
      <c r="B44" s="23"/>
      <c r="C44" s="17"/>
      <c r="D44" s="22"/>
      <c r="E44" s="22"/>
      <c r="F44" s="22"/>
      <c r="G44" s="27" t="s">
        <v>60</v>
      </c>
    </row>
    <row r="45" spans="2:7" ht="14" x14ac:dyDescent="0.15">
      <c r="B45" s="24">
        <v>11</v>
      </c>
      <c r="C45" s="17" t="s">
        <v>55</v>
      </c>
      <c r="D45" s="22"/>
      <c r="E45" s="22"/>
      <c r="F45" s="22"/>
      <c r="G45" s="27" t="s">
        <v>70</v>
      </c>
    </row>
    <row r="46" spans="2:7" ht="14" x14ac:dyDescent="0.15">
      <c r="B46" s="20"/>
      <c r="C46" s="17"/>
      <c r="D46" s="22"/>
      <c r="E46" s="22"/>
      <c r="F46" s="22"/>
      <c r="G46" s="27" t="s">
        <v>58</v>
      </c>
    </row>
    <row r="47" spans="2:7" ht="14" x14ac:dyDescent="0.15">
      <c r="B47" s="20"/>
      <c r="C47" s="17"/>
      <c r="D47" s="22"/>
      <c r="E47" s="22"/>
      <c r="F47" s="22"/>
      <c r="G47" s="27" t="s">
        <v>59</v>
      </c>
    </row>
    <row r="48" spans="2:7" ht="14" x14ac:dyDescent="0.15">
      <c r="B48" s="23"/>
      <c r="C48" s="17"/>
      <c r="D48" s="22"/>
      <c r="E48" s="22"/>
      <c r="F48" s="22"/>
      <c r="G48" s="27" t="s">
        <v>60</v>
      </c>
    </row>
    <row r="49" spans="2:7" ht="14" x14ac:dyDescent="0.15">
      <c r="B49" s="24">
        <v>12</v>
      </c>
      <c r="C49" s="17"/>
      <c r="D49" s="22"/>
      <c r="E49" s="22"/>
      <c r="F49" s="22"/>
      <c r="G49" s="27" t="s">
        <v>61</v>
      </c>
    </row>
    <row r="50" spans="2:7" ht="14" x14ac:dyDescent="0.15">
      <c r="B50" s="20"/>
      <c r="C50" s="17"/>
      <c r="D50" s="22"/>
      <c r="E50" s="22"/>
      <c r="F50" s="22"/>
      <c r="G50" s="27" t="s">
        <v>58</v>
      </c>
    </row>
    <row r="51" spans="2:7" ht="14" x14ac:dyDescent="0.15">
      <c r="B51" s="20"/>
      <c r="C51" s="17"/>
      <c r="D51" s="22"/>
      <c r="E51" s="22"/>
      <c r="F51" s="22"/>
      <c r="G51" s="27" t="s">
        <v>59</v>
      </c>
    </row>
    <row r="52" spans="2:7" ht="14" x14ac:dyDescent="0.15">
      <c r="B52" s="23"/>
      <c r="C52" s="17"/>
      <c r="D52" s="22"/>
      <c r="E52" s="22"/>
      <c r="F52" s="22"/>
      <c r="G52" s="27" t="s">
        <v>60</v>
      </c>
    </row>
    <row r="53" spans="2:7" ht="14" x14ac:dyDescent="0.15">
      <c r="B53" s="24">
        <v>13</v>
      </c>
      <c r="C53" s="17"/>
      <c r="D53" s="22"/>
      <c r="E53" s="22"/>
      <c r="F53" s="22"/>
      <c r="G53" s="27" t="s">
        <v>61</v>
      </c>
    </row>
    <row r="54" spans="2:7" ht="14" x14ac:dyDescent="0.15">
      <c r="B54" s="20"/>
      <c r="C54" s="17"/>
      <c r="D54" s="22"/>
      <c r="E54" s="22"/>
      <c r="F54" s="22"/>
      <c r="G54" s="27" t="s">
        <v>58</v>
      </c>
    </row>
    <row r="55" spans="2:7" ht="14" x14ac:dyDescent="0.15">
      <c r="B55" s="20"/>
      <c r="C55" s="17"/>
      <c r="D55" s="22"/>
      <c r="E55" s="22"/>
      <c r="F55" s="22"/>
      <c r="G55" s="27" t="s">
        <v>59</v>
      </c>
    </row>
    <row r="56" spans="2:7" ht="14" x14ac:dyDescent="0.15">
      <c r="B56" s="23"/>
      <c r="C56" s="17"/>
      <c r="D56" s="22"/>
      <c r="E56" s="22"/>
      <c r="F56" s="22"/>
      <c r="G56" s="27" t="s">
        <v>60</v>
      </c>
    </row>
    <row r="57" spans="2:7" ht="14" x14ac:dyDescent="0.15">
      <c r="B57" s="24">
        <v>14</v>
      </c>
      <c r="C57" s="17"/>
      <c r="D57" s="22"/>
      <c r="E57" s="22"/>
      <c r="F57" s="22"/>
      <c r="G57" s="27" t="s">
        <v>61</v>
      </c>
    </row>
    <row r="58" spans="2:7" ht="14" x14ac:dyDescent="0.15">
      <c r="B58" s="20"/>
      <c r="C58" s="17"/>
      <c r="D58" s="22"/>
      <c r="E58" s="22"/>
      <c r="F58" s="22"/>
      <c r="G58" s="27" t="s">
        <v>58</v>
      </c>
    </row>
    <row r="59" spans="2:7" ht="14" x14ac:dyDescent="0.15">
      <c r="B59" s="20"/>
      <c r="C59" s="17"/>
      <c r="D59" s="22"/>
      <c r="E59" s="22"/>
      <c r="F59" s="22"/>
      <c r="G59" s="27" t="s">
        <v>59</v>
      </c>
    </row>
    <row r="60" spans="2:7" ht="14" x14ac:dyDescent="0.15">
      <c r="B60" s="23"/>
      <c r="C60" s="17"/>
      <c r="D60" s="22"/>
      <c r="E60" s="22"/>
      <c r="F60" s="22"/>
      <c r="G60" s="27" t="s">
        <v>60</v>
      </c>
    </row>
    <row r="61" spans="2:7" ht="14" x14ac:dyDescent="0.15">
      <c r="B61" s="24">
        <v>15</v>
      </c>
      <c r="C61" s="17"/>
      <c r="D61" s="22"/>
      <c r="E61" s="22"/>
      <c r="F61" s="22"/>
      <c r="G61" s="27" t="s">
        <v>61</v>
      </c>
    </row>
    <row r="62" spans="2:7" ht="14" x14ac:dyDescent="0.15">
      <c r="B62" s="20"/>
      <c r="C62" s="17"/>
      <c r="D62" s="22"/>
      <c r="E62" s="22"/>
      <c r="F62" s="22"/>
      <c r="G62" s="27" t="s">
        <v>58</v>
      </c>
    </row>
    <row r="63" spans="2:7" ht="14" x14ac:dyDescent="0.15">
      <c r="B63" s="20"/>
      <c r="C63" s="17"/>
      <c r="D63" s="22"/>
      <c r="E63" s="22"/>
      <c r="F63" s="22"/>
      <c r="G63" s="27" t="s">
        <v>59</v>
      </c>
    </row>
    <row r="64" spans="2:7" ht="14" x14ac:dyDescent="0.15">
      <c r="B64" s="23"/>
      <c r="C64" s="17"/>
      <c r="D64" s="22"/>
      <c r="E64" s="22"/>
      <c r="F64" s="22"/>
      <c r="G64" s="27" t="s">
        <v>60</v>
      </c>
    </row>
  </sheetData>
  <mergeCells count="79">
    <mergeCell ref="C5:C8"/>
    <mergeCell ref="D5:D8"/>
    <mergeCell ref="E5:E8"/>
    <mergeCell ref="F5:F8"/>
    <mergeCell ref="B9:B12"/>
    <mergeCell ref="C9:C12"/>
    <mergeCell ref="D9:D12"/>
    <mergeCell ref="E9:E12"/>
    <mergeCell ref="F9:F12"/>
    <mergeCell ref="B57:B60"/>
    <mergeCell ref="C57:C60"/>
    <mergeCell ref="D57:D60"/>
    <mergeCell ref="E57:E60"/>
    <mergeCell ref="F57:F60"/>
    <mergeCell ref="B61:B64"/>
    <mergeCell ref="C61:C64"/>
    <mergeCell ref="D61:D64"/>
    <mergeCell ref="E61:E64"/>
    <mergeCell ref="F61:F64"/>
    <mergeCell ref="B49:B52"/>
    <mergeCell ref="C49:C52"/>
    <mergeCell ref="D49:D52"/>
    <mergeCell ref="E49:E52"/>
    <mergeCell ref="F49:F52"/>
    <mergeCell ref="B53:B56"/>
    <mergeCell ref="C53:C56"/>
    <mergeCell ref="D53:D56"/>
    <mergeCell ref="E53:E56"/>
    <mergeCell ref="F53:F56"/>
    <mergeCell ref="B41:B44"/>
    <mergeCell ref="C41:C44"/>
    <mergeCell ref="D41:D44"/>
    <mergeCell ref="E41:E44"/>
    <mergeCell ref="F41:F44"/>
    <mergeCell ref="B45:B48"/>
    <mergeCell ref="C45:C48"/>
    <mergeCell ref="D45:D48"/>
    <mergeCell ref="E45:E48"/>
    <mergeCell ref="F45:F48"/>
    <mergeCell ref="B33:B36"/>
    <mergeCell ref="C33:C36"/>
    <mergeCell ref="D33:D36"/>
    <mergeCell ref="E33:E36"/>
    <mergeCell ref="F33:F36"/>
    <mergeCell ref="B37:B40"/>
    <mergeCell ref="C37:C40"/>
    <mergeCell ref="D37:D40"/>
    <mergeCell ref="E37:E40"/>
    <mergeCell ref="F37:F40"/>
    <mergeCell ref="B25:B28"/>
    <mergeCell ref="C25:C28"/>
    <mergeCell ref="D25:D28"/>
    <mergeCell ref="E25:E28"/>
    <mergeCell ref="F25:F28"/>
    <mergeCell ref="B29:B32"/>
    <mergeCell ref="C29:C32"/>
    <mergeCell ref="D29:D32"/>
    <mergeCell ref="E29:E32"/>
    <mergeCell ref="F29:F32"/>
    <mergeCell ref="B17:B20"/>
    <mergeCell ref="C17:C20"/>
    <mergeCell ref="D17:D20"/>
    <mergeCell ref="E17:E20"/>
    <mergeCell ref="F17:F20"/>
    <mergeCell ref="B21:B24"/>
    <mergeCell ref="C21:C24"/>
    <mergeCell ref="D21:D24"/>
    <mergeCell ref="E21:E24"/>
    <mergeCell ref="F21:F24"/>
    <mergeCell ref="C3:D3"/>
    <mergeCell ref="E3:F3"/>
    <mergeCell ref="B3:B4"/>
    <mergeCell ref="G3:G4"/>
    <mergeCell ref="B13:B16"/>
    <mergeCell ref="C13:C16"/>
    <mergeCell ref="D13:D16"/>
    <mergeCell ref="E13:E16"/>
    <mergeCell ref="F13:F16"/>
    <mergeCell ref="B5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2409-1330-4547-82DA-5BA50D4F7AB8}">
  <dimension ref="E6:K13"/>
  <sheetViews>
    <sheetView workbookViewId="0">
      <selection activeCell="I22" sqref="I22"/>
    </sheetView>
  </sheetViews>
  <sheetFormatPr baseColWidth="10" defaultRowHeight="13" x14ac:dyDescent="0.15"/>
  <sheetData>
    <row r="6" spans="5:11" x14ac:dyDescent="0.15">
      <c r="E6" s="28">
        <f>COUNTIF(Resultados!C$5:C$64,"Ok")/(COUNT('Casos de Regatas y sus Títulos'!A$3:A$17))</f>
        <v>0.33333333333333331</v>
      </c>
      <c r="F6" s="28">
        <f>COUNTIF(Resultados!C$5:C$64,"Falla")/(COUNT('Casos de Regatas y sus Títulos'!A$3:A$17))</f>
        <v>0.4</v>
      </c>
    </row>
    <row r="13" spans="5:11" x14ac:dyDescent="0.15">
      <c r="K1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Regatas y sus Títulos</vt:lpstr>
      <vt:lpstr>Resultados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Luna</cp:lastModifiedBy>
  <dcterms:modified xsi:type="dcterms:W3CDTF">2026-04-12T17:48:39Z</dcterms:modified>
</cp:coreProperties>
</file>