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https://d.docs.live.net/0b358109354d87fd/Diplomaturas/01. Inteligencia Artificial Aplicada/Materias/05. Taller de Trabajo Final/Repositorio/DIIA_trabajo_final/docs/"/>
    </mc:Choice>
  </mc:AlternateContent>
  <xr:revisionPtr revIDLastSave="582" documentId="11_2C447A9E1C490587C5EB8AD627D4F21B5C78B259" xr6:coauthVersionLast="47" xr6:coauthVersionMax="47" xr10:uidLastSave="{0324D4F5-1AAE-3844-A7E1-FCF277E8EA75}"/>
  <bookViews>
    <workbookView xWindow="80" yWindow="660" windowWidth="30160" windowHeight="17460" xr2:uid="{00000000-000D-0000-FFFF-FFFF00000000}"/>
  </bookViews>
  <sheets>
    <sheet name="Casos de Regatas y sus Títulos" sheetId="1" r:id="rId1"/>
    <sheet name="Resultados" sheetId="2" r:id="rId2"/>
    <sheet name="Análisis" sheetId="3" r:id="rId3"/>
    <sheet name="Comentarios general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3" l="1"/>
  <c r="K11" i="3"/>
  <c r="L6" i="3"/>
  <c r="K6" i="3"/>
  <c r="I11" i="3"/>
  <c r="H11" i="3"/>
  <c r="I6" i="3"/>
  <c r="H6" i="3"/>
  <c r="F11" i="3"/>
  <c r="E11" i="3"/>
  <c r="C11" i="3"/>
  <c r="B11" i="3"/>
  <c r="F6" i="3"/>
  <c r="E6" i="3"/>
  <c r="C6" i="3"/>
  <c r="B6" i="3"/>
</calcChain>
</file>

<file path=xl/sharedStrings.xml><?xml version="1.0" encoding="utf-8"?>
<sst xmlns="http://schemas.openxmlformats.org/spreadsheetml/2006/main" count="341" uniqueCount="106">
  <si>
    <t>ID</t>
  </si>
  <si>
    <t>Título del Escenario</t>
  </si>
  <si>
    <t>Input (Relato del Incidente)</t>
  </si>
  <si>
    <t>Output Ideal Esperado (Ground Truth)</t>
  </si>
  <si>
    <t>Orzada brusca sin espacio para mantenerse alejado</t>
  </si>
  <si>
    <t>Sobre-rotación del barco de barlovento proa al viento</t>
  </si>
  <si>
    <t>Retraso en la respuesta al solapamiento desde atrás</t>
  </si>
  <si>
    <t>Derecho a espacio de marca y pérdida por virada</t>
  </si>
  <si>
    <t>Cambio de rumbo táctico en babor-estribor (Anti-Hunt)</t>
  </si>
  <si>
    <t>Incapacidad física de dar espacio de marca al solapar</t>
  </si>
  <si>
    <t>Interferencia durante el cumplimiento de una penalización</t>
  </si>
  <si>
    <t>B está cumpliendo una penalización de una vuelta. Mientras gira, Y (que no está en penalización) tiene que desviarse para evitar chocar con B.</t>
  </si>
  <si>
    <t>Eliminación de la Regla 18.4 en Team Racing</t>
  </si>
  <si>
    <t>Virada completada libre por proa en la zona</t>
  </si>
  <si>
    <t>Y vira en la zona de la marca de barlovento por delante de B. Y completa su virada y queda libre por proa, pero B debe caer inmediatamente para evitar chocar con la popa de Y.</t>
  </si>
  <si>
    <t>Contacto antes de completar la virada tras cruce</t>
  </si>
  <si>
    <t>Táctica de frenado en la marca (The Trap)</t>
  </si>
  <si>
    <t>Tres barcos (B, X, Y) se acercan a una boya por babor. X es el barco más a sotavento y líder. Y y B están solapados por fuera. X frena bruscamente para "atrapar" a B y permitir que su compañero Y pase por el interior. B choca con X.</t>
  </si>
  <si>
    <t>Provocación de contacto deliberado (Antideportivo)</t>
  </si>
  <si>
    <t>Trasluchada para "apagar" la restricción de la Regla 17</t>
  </si>
  <si>
    <t>Interferencia de un barco que ya terminó la regata</t>
  </si>
  <si>
    <t>Virada en proa obligando a maniobra evitativa inmediata</t>
  </si>
  <si>
    <t>B y Y navegan en la misma amura (babor), solapados. Y es el barco de sotavento. Y comienza a orzar lentamente. B responde de inmediato, pero Y continúa orzando hasta que B ya no puede evitar el contacto. Hay contacto leve.</t>
  </si>
  <si>
    <t>En la pre-salida, Y (sotavento) y B (barlovento) están solapados. Y orza hacia una posición de "proa al viento". B orza en respuesta. B continúa rotando y pasa de la posición de proa al viento, chocando con el costado de Y.</t>
  </si>
  <si>
    <t>B establece un solapamiento desde atrás a sotavento de Y muy cerca de la línea de salida. Y puede mantenerse alejada acelerando, pero tarda en reaccionar y luego decide orzar, golpeando a B.</t>
  </si>
  <si>
    <t>Y y B se acercan a una boya de barlovento que debe dejarse por babor. B llega a la zona libre por proa de Y. B orza para virar (tack) frente a la boya, pero la presencia de Y por su costado le impide completar la virada.</t>
  </si>
  <si>
    <t>B (estribor) y Y (babor) convergen en ceñida. A 3 esloras, Y vira para pasar por popa de B. B entonces también cae (bear away) manteniendo el rumbo de colisión. Y debe volver a caer bruscamente para evitar a B.</t>
  </si>
  <si>
    <t>Y y B se acercan a una marca de barlovento a dejar por estribor. Y entra en la zona libre por popa de B. Y gana un solapamiento por el interior de B y reclama espacio. B no tiene espacio físico para dejar virar a Y sin chocar.</t>
  </si>
  <si>
    <t>Y y B solapados en babor hacia la boya de sotavento. Y es interior. Y traslucha a estribor en la zona y orza a B para alejarla de la marca. B es obligada a trasluchar.</t>
  </si>
  <si>
    <t>B (estribor) cruza por delante de Y (babor). Después de cruzar, B orza y vira a babor. Durante la virada, B choca con Y antes de llegar a rumbo de ceñida.</t>
  </si>
  <si>
    <t>Y navega por la amura de babor. B navega por la amura de estribor. Y tiene que virar para evitar a B, pero durante la maniobra el tripulante de B empuja la botavara hacia afuera deliberadamente para tocar a Y.</t>
  </si>
  <si>
    <t>B y Y están en el tramo de popa, solapados en la misma amura. B es sotavento y tiene restricción de rumbo debido (Regla 17). B traslucha a la amura de babor y vuelve a trasluchar a estribor de inmediato para orzar a Y.</t>
  </si>
  <si>
    <t>Y ha terminado la regata y está navegando de regreso. En su camino, pasa cerca de B que aún está compitiendo, obligando a B a virar para evitarla.</t>
  </si>
  <si>
    <t>B (estribor) y Y (babor) en ceñida. B está claramente por delante y Y pasaría por su popa sin problemas. B decide virar justo en la proa de Y, obligando a Y a virar de inmediato para evitar el choque.</t>
  </si>
  <si>
    <r>
      <rPr>
        <b/>
        <sz val="10"/>
        <color theme="1"/>
        <rFont val="Arial"/>
        <family val="2"/>
        <scheme val="minor"/>
      </rPr>
      <t>Hechos</t>
    </r>
    <r>
      <rPr>
        <sz val="10"/>
        <color theme="1"/>
        <rFont val="Arial"/>
        <family val="2"/>
        <scheme val="minor"/>
      </rPr>
      <t xml:space="preserve">: B (barlovento) y Y (sotavento) solapados. Y orza y B responde prontamente. Y sigue orzando hasta que B no puede evitarla. 
</t>
    </r>
    <r>
      <rPr>
        <b/>
        <sz val="10"/>
        <color theme="1"/>
        <rFont val="Arial"/>
        <family val="2"/>
        <scheme val="minor"/>
      </rPr>
      <t>Norma</t>
    </r>
    <r>
      <rPr>
        <sz val="10"/>
        <color theme="1"/>
        <rFont val="Arial"/>
        <family val="2"/>
        <scheme val="minor"/>
      </rPr>
      <t xml:space="preserve">: Regla 16.1 e interpretación TR CALL A3 .
</t>
    </r>
    <r>
      <rPr>
        <b/>
        <sz val="10"/>
        <color theme="1"/>
        <rFont val="Arial"/>
        <family val="2"/>
        <scheme val="minor"/>
      </rPr>
      <t>Rationale</t>
    </r>
    <r>
      <rPr>
        <sz val="10"/>
        <color theme="1"/>
        <rFont val="Arial"/>
        <family val="2"/>
        <scheme val="minor"/>
      </rPr>
      <t xml:space="preserve">: Aunque Y es el barco con derecho de paso, al cambiar de curso debe dar espacio para que el barco que debe mantenerse alejado lo haga .
</t>
    </r>
    <r>
      <rPr>
        <b/>
        <sz val="10"/>
        <color theme="1"/>
        <rFont val="Arial"/>
        <family val="2"/>
        <scheme val="minor"/>
      </rPr>
      <t>Decisión</t>
    </r>
    <r>
      <rPr>
        <sz val="10"/>
        <color theme="1"/>
        <rFont val="Arial"/>
        <family val="2"/>
        <scheme val="minor"/>
      </rPr>
      <t>: Penalizar a Y.</t>
    </r>
  </si>
  <si>
    <r>
      <rPr>
        <b/>
        <sz val="10"/>
        <color theme="1"/>
        <rFont val="Arial"/>
        <family val="2"/>
        <scheme val="minor"/>
      </rPr>
      <t>Hechos</t>
    </r>
    <r>
      <rPr>
        <sz val="10"/>
        <color theme="1"/>
        <rFont val="Arial"/>
        <family val="2"/>
        <scheme val="minor"/>
      </rPr>
      <t xml:space="preserve">: Y y B solapados. Y orza a proa al viento y B responde. B sobre-rota y choca con Y .
</t>
    </r>
    <r>
      <rPr>
        <b/>
        <sz val="10"/>
        <color theme="1"/>
        <rFont val="Arial"/>
        <family val="2"/>
        <scheme val="minor"/>
      </rPr>
      <t>Norma</t>
    </r>
    <r>
      <rPr>
        <sz val="10"/>
        <color theme="1"/>
        <rFont val="Arial"/>
        <family val="2"/>
        <scheme val="minor"/>
      </rPr>
      <t xml:space="preserve">: Reglas 11 o 13 según TR CALL B2 .
</t>
    </r>
    <r>
      <rPr>
        <b/>
        <sz val="10"/>
        <color theme="1"/>
        <rFont val="Arial"/>
        <family val="2"/>
        <scheme val="minor"/>
      </rPr>
      <t>Rationale</t>
    </r>
    <r>
      <rPr>
        <sz val="10"/>
        <color theme="1"/>
        <rFont val="Arial"/>
        <family val="2"/>
        <scheme val="minor"/>
      </rPr>
      <t xml:space="preserve">: Y dio espacio inicial para que B respondiera. El contacto fue causado por la sobre-rotación de B (error de maniobra), no por falta de espacio de Y .
</t>
    </r>
    <r>
      <rPr>
        <b/>
        <sz val="10"/>
        <color theme="1"/>
        <rFont val="Arial"/>
        <family val="2"/>
        <scheme val="minor"/>
      </rPr>
      <t>Decisión</t>
    </r>
    <r>
      <rPr>
        <sz val="10"/>
        <color theme="1"/>
        <rFont val="Arial"/>
        <family val="2"/>
        <scheme val="minor"/>
      </rPr>
      <t>: Penalizar a B.</t>
    </r>
  </si>
  <si>
    <r>
      <rPr>
        <b/>
        <sz val="10"/>
        <color theme="1"/>
        <rFont val="Arial"/>
        <family val="2"/>
        <scheme val="minor"/>
      </rPr>
      <t>Hechos</t>
    </r>
    <r>
      <rPr>
        <sz val="10"/>
        <color theme="1"/>
        <rFont val="Arial"/>
        <family val="2"/>
        <scheme val="minor"/>
      </rPr>
      <t xml:space="preserve">: B gana solapamiento desde atrás. Y puede mantenerse alejada acelerando pero demora su respuesta y luego orza chocando a B .
</t>
    </r>
    <r>
      <rPr>
        <b/>
        <sz val="10"/>
        <color theme="1"/>
        <rFont val="Arial"/>
        <family val="2"/>
        <scheme val="minor"/>
      </rPr>
      <t>Norma</t>
    </r>
    <r>
      <rPr>
        <sz val="10"/>
        <color theme="1"/>
        <rFont val="Arial"/>
        <family val="2"/>
        <scheme val="minor"/>
      </rPr>
      <t xml:space="preserve">: Regla 11 según TR CALL B1 .
</t>
    </r>
    <r>
      <rPr>
        <b/>
        <sz val="10"/>
        <color theme="1"/>
        <rFont val="Arial"/>
        <family val="2"/>
        <scheme val="minor"/>
      </rPr>
      <t>Rationale</t>
    </r>
    <r>
      <rPr>
        <sz val="10"/>
        <color theme="1"/>
        <rFont val="Arial"/>
        <family val="2"/>
        <scheme val="minor"/>
      </rPr>
      <t xml:space="preserve">: B cumplió la Regla 15 al dar espacio inicial para que Y reaccionara de forma marinera. Y falló al demorar su respuesta .
</t>
    </r>
    <r>
      <rPr>
        <b/>
        <sz val="10"/>
        <color theme="1"/>
        <rFont val="Arial"/>
        <family val="2"/>
        <scheme val="minor"/>
      </rPr>
      <t>Decisión</t>
    </r>
    <r>
      <rPr>
        <sz val="10"/>
        <color theme="1"/>
        <rFont val="Arial"/>
        <family val="2"/>
        <scheme val="minor"/>
      </rPr>
      <t>: Penalizar a Y.</t>
    </r>
  </si>
  <si>
    <r>
      <rPr>
        <b/>
        <sz val="10"/>
        <color theme="1"/>
        <rFont val="Arial"/>
        <family val="2"/>
        <scheme val="minor"/>
      </rPr>
      <t>Hechos</t>
    </r>
    <r>
      <rPr>
        <sz val="10"/>
        <color theme="1"/>
        <rFont val="Arial"/>
        <family val="2"/>
        <scheme val="minor"/>
      </rPr>
      <t xml:space="preserve">: B entra a la zona libre por proa de Y. B quiere virar pero Y se lo impide .
</t>
    </r>
    <r>
      <rPr>
        <b/>
        <sz val="10"/>
        <color theme="1"/>
        <rFont val="Arial"/>
        <family val="2"/>
        <scheme val="minor"/>
      </rPr>
      <t>Norma</t>
    </r>
    <r>
      <rPr>
        <sz val="10"/>
        <color theme="1"/>
        <rFont val="Arial"/>
        <family val="2"/>
        <scheme val="minor"/>
      </rPr>
      <t xml:space="preserve">: Reglas 18.2(a)(2) y 12 según TR CALL E1 .
</t>
    </r>
    <r>
      <rPr>
        <b/>
        <sz val="10"/>
        <color theme="1"/>
        <rFont val="Arial"/>
        <family val="2"/>
        <scheme val="minor"/>
      </rPr>
      <t>Rationale</t>
    </r>
    <r>
      <rPr>
        <sz val="10"/>
        <color theme="1"/>
        <rFont val="Arial"/>
        <family val="2"/>
        <scheme val="minor"/>
      </rPr>
      <t xml:space="preserve">: Y debe dar espacio de marca a B. Sin embargo, si B pasa de la posición de proa al viento, pierde su derecho a espacio de marca bajo la Regla 18.2(d) .
</t>
    </r>
    <r>
      <rPr>
        <b/>
        <sz val="10"/>
        <color theme="1"/>
        <rFont val="Arial"/>
        <family val="2"/>
        <scheme val="minor"/>
      </rPr>
      <t>Decisión</t>
    </r>
    <r>
      <rPr>
        <sz val="10"/>
        <color theme="1"/>
        <rFont val="Arial"/>
        <family val="2"/>
        <scheme val="minor"/>
      </rPr>
      <t>: Sin penalización mientras B no pase de proa al viento.</t>
    </r>
  </si>
  <si>
    <r>
      <rPr>
        <b/>
        <sz val="10"/>
        <color theme="1"/>
        <rFont val="Arial"/>
        <family val="2"/>
        <scheme val="minor"/>
      </rPr>
      <t>Hechos</t>
    </r>
    <r>
      <rPr>
        <sz val="10"/>
        <color theme="1"/>
        <rFont val="Arial"/>
        <family val="2"/>
        <scheme val="minor"/>
      </rPr>
      <t xml:space="preserve">: B en estribor, Y en babor. Y intenta pasar por popa de B. B cae hacia Y obligándola a maniobrar de nuevo .
</t>
    </r>
    <r>
      <rPr>
        <b/>
        <sz val="10"/>
        <color theme="1"/>
        <rFont val="Arial"/>
        <family val="2"/>
        <scheme val="minor"/>
      </rPr>
      <t>Norma</t>
    </r>
    <r>
      <rPr>
        <sz val="10"/>
        <color theme="1"/>
        <rFont val="Arial"/>
        <family val="2"/>
        <scheme val="minor"/>
      </rPr>
      <t xml:space="preserve">: Regla 16.2 según TR CALL D2 .
</t>
    </r>
    <r>
      <rPr>
        <b/>
        <sz val="10"/>
        <color theme="1"/>
        <rFont val="Arial"/>
        <family val="2"/>
        <scheme val="minor"/>
      </rPr>
      <t>Rationale</t>
    </r>
    <r>
      <rPr>
        <sz val="10"/>
        <color theme="1"/>
        <rFont val="Arial"/>
        <family val="2"/>
        <scheme val="minor"/>
      </rPr>
      <t xml:space="preserve">: En ceñida, un barco de estribor no puede cambiar de rumbo si obliga al barco de babor (que intenta pasar por popa) a cambiar de rumbo inmediatamente para seguir manteniéndose alejado .
</t>
    </r>
    <r>
      <rPr>
        <b/>
        <sz val="10"/>
        <color theme="1"/>
        <rFont val="Arial"/>
        <family val="2"/>
        <scheme val="minor"/>
      </rPr>
      <t>Decisión</t>
    </r>
    <r>
      <rPr>
        <sz val="10"/>
        <color theme="1"/>
        <rFont val="Arial"/>
        <family val="2"/>
        <scheme val="minor"/>
      </rPr>
      <t>: Penalizar a B.</t>
    </r>
  </si>
  <si>
    <r>
      <rPr>
        <b/>
        <sz val="10"/>
        <color theme="1"/>
        <rFont val="Arial"/>
        <family val="2"/>
        <scheme val="minor"/>
      </rPr>
      <t>Hechos</t>
    </r>
    <r>
      <rPr>
        <sz val="10"/>
        <color theme="1"/>
        <rFont val="Arial"/>
        <family val="2"/>
        <scheme val="minor"/>
      </rPr>
      <t xml:space="preserve">: Y entra a la zona libre por popa. Y gana solapamiento interior. B no tiene espacio para dejar virar a Y .
</t>
    </r>
    <r>
      <rPr>
        <b/>
        <sz val="10"/>
        <color theme="1"/>
        <rFont val="Arial"/>
        <family val="2"/>
        <scheme val="minor"/>
      </rPr>
      <t>Norma</t>
    </r>
    <r>
      <rPr>
        <sz val="10"/>
        <color theme="1"/>
        <rFont val="Arial"/>
        <family val="2"/>
        <scheme val="minor"/>
      </rPr>
      <t xml:space="preserve">: Regla 18.2(a) según TR CALL E2 .
</t>
    </r>
    <r>
      <rPr>
        <b/>
        <sz val="10"/>
        <color theme="1"/>
        <rFont val="Arial"/>
        <family val="2"/>
        <scheme val="minor"/>
      </rPr>
      <t>Rationale</t>
    </r>
    <r>
      <rPr>
        <sz val="10"/>
        <color theme="1"/>
        <rFont val="Arial"/>
        <family val="2"/>
        <scheme val="minor"/>
      </rPr>
      <t xml:space="preserve">: Si el barco exterior (B) es incapaz de dar espacio de marca desde el momento en que se crea el solapamiento, no está obligado a darlo según la Regla 18.2(d) .
</t>
    </r>
    <r>
      <rPr>
        <b/>
        <sz val="10"/>
        <color theme="1"/>
        <rFont val="Arial"/>
        <family val="2"/>
        <scheme val="minor"/>
      </rPr>
      <t>Decisión</t>
    </r>
    <r>
      <rPr>
        <sz val="10"/>
        <color theme="1"/>
        <rFont val="Arial"/>
        <family val="2"/>
        <scheme val="minor"/>
      </rPr>
      <t>: Penalizar a Y (si vira y choca).</t>
    </r>
  </si>
  <si>
    <r>
      <rPr>
        <b/>
        <sz val="10"/>
        <color theme="1"/>
        <rFont val="Arial"/>
        <family val="2"/>
        <scheme val="minor"/>
      </rPr>
      <t>Hechos</t>
    </r>
    <r>
      <rPr>
        <sz val="10"/>
        <color theme="1"/>
        <rFont val="Arial"/>
        <family val="2"/>
        <scheme val="minor"/>
      </rPr>
      <t xml:space="preserve">: B tomando penalización. Y debe evitarla .
</t>
    </r>
    <r>
      <rPr>
        <b/>
        <sz val="10"/>
        <color theme="1"/>
        <rFont val="Arial"/>
        <family val="2"/>
        <scheme val="minor"/>
      </rPr>
      <t>Norma</t>
    </r>
    <r>
      <rPr>
        <sz val="10"/>
        <color theme="1"/>
        <rFont val="Arial"/>
        <family val="2"/>
        <scheme val="minor"/>
      </rPr>
      <t xml:space="preserve">: Regla 21.2 según TR CALL L2 o L5 .
</t>
    </r>
    <r>
      <rPr>
        <b/>
        <sz val="10"/>
        <color theme="1"/>
        <rFont val="Arial"/>
        <family val="2"/>
        <scheme val="minor"/>
      </rPr>
      <t>Rationale</t>
    </r>
    <r>
      <rPr>
        <sz val="10"/>
        <color theme="1"/>
        <rFont val="Arial"/>
        <family val="2"/>
        <scheme val="minor"/>
      </rPr>
      <t xml:space="preserve">: Un barco que está tomando una penalización debe mantenerse alejado de uno que no lo está haciendo .
</t>
    </r>
    <r>
      <rPr>
        <b/>
        <sz val="10"/>
        <color theme="1"/>
        <rFont val="Arial"/>
        <family val="2"/>
        <scheme val="minor"/>
      </rPr>
      <t>Decisión</t>
    </r>
    <r>
      <rPr>
        <sz val="10"/>
        <color theme="1"/>
        <rFont val="Arial"/>
        <family val="2"/>
        <scheme val="minor"/>
      </rPr>
      <t>: Penalizar a B.</t>
    </r>
  </si>
  <si>
    <r>
      <rPr>
        <b/>
        <sz val="10"/>
        <color theme="1"/>
        <rFont val="Arial"/>
        <family val="2"/>
        <scheme val="minor"/>
      </rPr>
      <t>Hechos</t>
    </r>
    <r>
      <rPr>
        <sz val="10"/>
        <color theme="1"/>
        <rFont val="Arial"/>
        <family val="2"/>
        <scheme val="minor"/>
      </rPr>
      <t xml:space="preserve">: Y interior solapado. Y traslucha a estribor en la zona y orza a B .
</t>
    </r>
    <r>
      <rPr>
        <b/>
        <sz val="10"/>
        <color theme="1"/>
        <rFont val="Arial"/>
        <family val="2"/>
        <scheme val="minor"/>
      </rPr>
      <t>Norma</t>
    </r>
    <r>
      <rPr>
        <sz val="10"/>
        <color theme="1"/>
        <rFont val="Arial"/>
        <family val="2"/>
        <scheme val="minor"/>
      </rPr>
      <t xml:space="preserve">: Regla 18.2(a)(1) y Apéndice D (D1.1c) según TR CALL J5 .
</t>
    </r>
    <r>
      <rPr>
        <b/>
        <sz val="10"/>
        <color theme="1"/>
        <rFont val="Arial"/>
        <family val="2"/>
        <scheme val="minor"/>
      </rPr>
      <t>Rationale</t>
    </r>
    <r>
      <rPr>
        <sz val="10"/>
        <color theme="1"/>
        <rFont val="Arial"/>
        <family val="2"/>
        <scheme val="minor"/>
      </rPr>
      <t xml:space="preserve">: En Team Racing, la Regla 18.4 se borra, por lo que el barco con derecho a espacio de marca no tiene obligación de trasluchar de inmediato y puede orzar al otro .
</t>
    </r>
    <r>
      <rPr>
        <b/>
        <sz val="10"/>
        <color theme="1"/>
        <rFont val="Arial"/>
        <family val="2"/>
        <scheme val="minor"/>
      </rPr>
      <t>Decisión</t>
    </r>
    <r>
      <rPr>
        <sz val="10"/>
        <color theme="1"/>
        <rFont val="Arial"/>
        <family val="2"/>
        <scheme val="minor"/>
      </rPr>
      <t>: Sin penalización para Y.</t>
    </r>
  </si>
  <si>
    <r>
      <rPr>
        <b/>
        <sz val="10"/>
        <color theme="1"/>
        <rFont val="Arial"/>
        <family val="2"/>
        <scheme val="minor"/>
      </rPr>
      <t>Hechos</t>
    </r>
    <r>
      <rPr>
        <sz val="10"/>
        <color theme="1"/>
        <rFont val="Arial"/>
        <family val="2"/>
        <scheme val="minor"/>
      </rPr>
      <t xml:space="preserve">: Y vira en la zona. B debe caer para evitarla después de que Y completó su virada .
</t>
    </r>
    <r>
      <rPr>
        <b/>
        <sz val="10"/>
        <color theme="1"/>
        <rFont val="Arial"/>
        <family val="2"/>
        <scheme val="minor"/>
      </rPr>
      <t>Norma</t>
    </r>
    <r>
      <rPr>
        <sz val="10"/>
        <color theme="1"/>
        <rFont val="Arial"/>
        <family val="2"/>
        <scheme val="minor"/>
      </rPr>
      <t xml:space="preserve">: Regla 12 e interpretación TR CALL E6 .
</t>
    </r>
    <r>
      <rPr>
        <b/>
        <sz val="10"/>
        <color theme="1"/>
        <rFont val="Arial"/>
        <family val="2"/>
        <scheme val="minor"/>
      </rPr>
      <t>Rationale</t>
    </r>
    <r>
      <rPr>
        <sz val="10"/>
        <color theme="1"/>
        <rFont val="Arial"/>
        <family val="2"/>
        <scheme val="minor"/>
      </rPr>
      <t xml:space="preserve">: Si Y completa su virada sin obligar a B a maniobrar durante la misma (Regla 13) y sin riesgo de contacto inmediato (Regla 15), B ahora es el barco que viene por popa y debe mantenerse alejado .
</t>
    </r>
    <r>
      <rPr>
        <b/>
        <sz val="10"/>
        <color theme="1"/>
        <rFont val="Arial"/>
        <family val="2"/>
        <scheme val="minor"/>
      </rPr>
      <t>Decisión</t>
    </r>
    <r>
      <rPr>
        <sz val="10"/>
        <color theme="1"/>
        <rFont val="Arial"/>
        <family val="2"/>
        <scheme val="minor"/>
      </rPr>
      <t>: Sin penalización para Y.</t>
    </r>
  </si>
  <si>
    <r>
      <rPr>
        <b/>
        <sz val="10"/>
        <color theme="1"/>
        <rFont val="Arial"/>
        <family val="2"/>
        <scheme val="minor"/>
      </rPr>
      <t>Hechos</t>
    </r>
    <r>
      <rPr>
        <sz val="10"/>
        <color theme="1"/>
        <rFont val="Arial"/>
        <family val="2"/>
        <scheme val="minor"/>
      </rPr>
      <t xml:space="preserve">: B cruza a Y. B vira y choca con Y antes de completar la virada .
</t>
    </r>
    <r>
      <rPr>
        <b/>
        <sz val="10"/>
        <color theme="1"/>
        <rFont val="Arial"/>
        <family val="2"/>
        <scheme val="minor"/>
      </rPr>
      <t>Norma</t>
    </r>
    <r>
      <rPr>
        <sz val="10"/>
        <color theme="1"/>
        <rFont val="Arial"/>
        <family val="2"/>
        <scheme val="minor"/>
      </rPr>
      <t xml:space="preserve">: Regla 13 según TR CALL D4 .
</t>
    </r>
    <r>
      <rPr>
        <b/>
        <sz val="10"/>
        <color theme="1"/>
        <rFont val="Arial"/>
        <family val="2"/>
        <scheme val="minor"/>
      </rPr>
      <t>Rationale</t>
    </r>
    <r>
      <rPr>
        <sz val="10"/>
        <color theme="1"/>
        <rFont val="Arial"/>
        <family val="2"/>
        <scheme val="minor"/>
      </rPr>
      <t xml:space="preserve">: B perdió su derecho de paso al virar. Mientras un barco vira, debe mantenerse alejado de los demás .
</t>
    </r>
    <r>
      <rPr>
        <b/>
        <sz val="10"/>
        <color theme="1"/>
        <rFont val="Arial"/>
        <family val="2"/>
        <scheme val="minor"/>
      </rPr>
      <t>Decisión</t>
    </r>
    <r>
      <rPr>
        <sz val="10"/>
        <color theme="1"/>
        <rFont val="Arial"/>
        <family val="2"/>
        <scheme val="minor"/>
      </rPr>
      <t>: Penalizar a B.</t>
    </r>
  </si>
  <si>
    <r>
      <rPr>
        <b/>
        <sz val="10"/>
        <color theme="1"/>
        <rFont val="Arial"/>
        <family val="2"/>
        <scheme val="minor"/>
      </rPr>
      <t>Hechos</t>
    </r>
    <r>
      <rPr>
        <sz val="10"/>
        <color theme="1"/>
        <rFont val="Arial"/>
        <family val="2"/>
        <scheme val="minor"/>
      </rPr>
      <t xml:space="preserve">: Y en babor, B en estribor. Y vira para evitar a B. B empuja la botavara para causar contacto .
</t>
    </r>
    <r>
      <rPr>
        <b/>
        <sz val="10"/>
        <color theme="1"/>
        <rFont val="Arial"/>
        <family val="2"/>
        <scheme val="minor"/>
      </rPr>
      <t>Norma</t>
    </r>
    <r>
      <rPr>
        <sz val="10"/>
        <color theme="1"/>
        <rFont val="Arial"/>
        <family val="2"/>
        <scheme val="minor"/>
      </rPr>
      <t xml:space="preserve">: Regla 10 y D2.3(f) según TR CALL L1 .
</t>
    </r>
    <r>
      <rPr>
        <b/>
        <sz val="10"/>
        <color theme="1"/>
        <rFont val="Arial"/>
        <family val="2"/>
        <scheme val="minor"/>
      </rPr>
      <t>Rationale</t>
    </r>
    <r>
      <rPr>
        <sz val="10"/>
        <color theme="1"/>
        <rFont val="Arial"/>
        <family val="2"/>
        <scheme val="minor"/>
      </rPr>
      <t xml:space="preserve">: Es un incumplimiento de la deportividad provocar contacto deliberadamente cuando el otro barco estaba manteniéndose alejado .
</t>
    </r>
    <r>
      <rPr>
        <b/>
        <sz val="10"/>
        <color theme="1"/>
        <rFont val="Arial"/>
        <family val="2"/>
        <scheme val="minor"/>
      </rPr>
      <t>Decisión</t>
    </r>
    <r>
      <rPr>
        <sz val="10"/>
        <color theme="1"/>
        <rFont val="Arial"/>
        <family val="2"/>
        <scheme val="minor"/>
      </rPr>
      <t>: Penalizar a B. Exonerar a Y.</t>
    </r>
  </si>
  <si>
    <r>
      <rPr>
        <b/>
        <sz val="10"/>
        <color theme="1"/>
        <rFont val="Arial"/>
        <family val="2"/>
        <scheme val="minor"/>
      </rPr>
      <t>Hechos</t>
    </r>
    <r>
      <rPr>
        <sz val="10"/>
        <color theme="1"/>
        <rFont val="Arial"/>
        <family val="2"/>
        <scheme val="minor"/>
      </rPr>
      <t xml:space="preserve">: B traslucha dos veces. B orza a Y tras las trasluchadas .
</t>
    </r>
    <r>
      <rPr>
        <b/>
        <sz val="10"/>
        <color theme="1"/>
        <rFont val="Arial"/>
        <family val="2"/>
        <scheme val="minor"/>
      </rPr>
      <t>Norma</t>
    </r>
    <r>
      <rPr>
        <sz val="10"/>
        <color theme="1"/>
        <rFont val="Arial"/>
        <family val="2"/>
        <scheme val="minor"/>
      </rPr>
      <t xml:space="preserve">: Regla 17 según TR CALL G3 .
</t>
    </r>
    <r>
      <rPr>
        <b/>
        <sz val="10"/>
        <color theme="1"/>
        <rFont val="Arial"/>
        <family val="2"/>
        <scheme val="minor"/>
      </rPr>
      <t>Rationale</t>
    </r>
    <r>
      <rPr>
        <sz val="10"/>
        <color theme="1"/>
        <rFont val="Arial"/>
        <family val="2"/>
        <scheme val="minor"/>
      </rPr>
      <t xml:space="preserve">: Si la trasluchada es real (la vela se llena en la nueva amura), el solapamiento original se rompe y con él la restricción de la Regla 17 .
</t>
    </r>
    <r>
      <rPr>
        <b/>
        <sz val="10"/>
        <color theme="1"/>
        <rFont val="Arial"/>
        <family val="2"/>
        <scheme val="minor"/>
      </rPr>
      <t>Decisión</t>
    </r>
    <r>
      <rPr>
        <sz val="10"/>
        <color theme="1"/>
        <rFont val="Arial"/>
        <family val="2"/>
        <scheme val="minor"/>
      </rPr>
      <t>: Sin penalización para B.</t>
    </r>
  </si>
  <si>
    <r>
      <rPr>
        <b/>
        <sz val="10"/>
        <color theme="1"/>
        <rFont val="Arial"/>
        <family val="2"/>
        <scheme val="minor"/>
      </rPr>
      <t>Hechos</t>
    </r>
    <r>
      <rPr>
        <sz val="10"/>
        <color theme="1"/>
        <rFont val="Arial"/>
        <family val="2"/>
        <scheme val="minor"/>
      </rPr>
      <t xml:space="preserve">: Y ha terminado. B sigue compitiendo. Y obliga a B a maniobrar .
</t>
    </r>
    <r>
      <rPr>
        <b/>
        <sz val="10"/>
        <color theme="1"/>
        <rFont val="Arial"/>
        <family val="2"/>
        <scheme val="minor"/>
      </rPr>
      <t>Norma</t>
    </r>
    <r>
      <rPr>
        <sz val="10"/>
        <color theme="1"/>
        <rFont val="Arial"/>
        <family val="2"/>
        <scheme val="minor"/>
      </rPr>
      <t xml:space="preserve">: Regla D1.1(e) según TR CALL K1 .
</t>
    </r>
    <r>
      <rPr>
        <b/>
        <sz val="10"/>
        <color theme="1"/>
        <rFont val="Arial"/>
        <family val="2"/>
        <scheme val="minor"/>
      </rPr>
      <t>Rationale</t>
    </r>
    <r>
      <rPr>
        <sz val="10"/>
        <color theme="1"/>
        <rFont val="Arial"/>
        <family val="2"/>
        <scheme val="minor"/>
      </rPr>
      <t xml:space="preserve">: Un barco que ha terminado no debe interferir con un barco que aún está compitiendo .
</t>
    </r>
    <r>
      <rPr>
        <b/>
        <sz val="10"/>
        <color theme="1"/>
        <rFont val="Arial"/>
        <family val="2"/>
        <scheme val="minor"/>
      </rPr>
      <t>Decisión</t>
    </r>
    <r>
      <rPr>
        <sz val="10"/>
        <color theme="1"/>
        <rFont val="Arial"/>
        <family val="2"/>
        <scheme val="minor"/>
      </rPr>
      <t>: Penalizar a Y.</t>
    </r>
  </si>
  <si>
    <r>
      <rPr>
        <b/>
        <sz val="10"/>
        <color theme="1"/>
        <rFont val="Arial"/>
        <family val="2"/>
        <scheme val="minor"/>
      </rPr>
      <t>Hechos</t>
    </r>
    <r>
      <rPr>
        <sz val="10"/>
        <color theme="1"/>
        <rFont val="Arial"/>
        <family val="2"/>
        <scheme val="minor"/>
      </rPr>
      <t xml:space="preserve">: B vira frente a Y. Y debe virar para evitar contacto .
</t>
    </r>
    <r>
      <rPr>
        <b/>
        <sz val="10"/>
        <color theme="1"/>
        <rFont val="Arial"/>
        <family val="2"/>
        <scheme val="minor"/>
      </rPr>
      <t>Norma</t>
    </r>
    <r>
      <rPr>
        <sz val="10"/>
        <color theme="1"/>
        <rFont val="Arial"/>
        <family val="2"/>
        <scheme val="minor"/>
      </rPr>
      <t xml:space="preserve">: Regla 13 y 15 según TR CALL D3 .
</t>
    </r>
    <r>
      <rPr>
        <b/>
        <sz val="10"/>
        <color theme="1"/>
        <rFont val="Arial"/>
        <family val="2"/>
        <scheme val="minor"/>
      </rPr>
      <t>Rationale</t>
    </r>
    <r>
      <rPr>
        <sz val="10"/>
        <color theme="1"/>
        <rFont val="Arial"/>
        <family val="2"/>
        <scheme val="minor"/>
      </rPr>
      <t xml:space="preserve">: B al virar adquiere derecho de paso pero debe dar espacio inicialmente a Y para que se mantenga alejada de forma marinera .
</t>
    </r>
    <r>
      <rPr>
        <b/>
        <sz val="10"/>
        <color theme="1"/>
        <rFont val="Arial"/>
        <family val="2"/>
        <scheme val="minor"/>
      </rPr>
      <t>Decisión</t>
    </r>
    <r>
      <rPr>
        <sz val="10"/>
        <color theme="1"/>
        <rFont val="Arial"/>
        <family val="2"/>
        <scheme val="minor"/>
      </rPr>
      <t>: Penalizar a B.</t>
    </r>
  </si>
  <si>
    <t>Prompt Español</t>
  </si>
  <si>
    <t>Prompt inglés</t>
  </si>
  <si>
    <t>Chain-of-Thought (CoT)</t>
  </si>
  <si>
    <t>Few-Shot 
Chain-of-Thought (FS CoT)</t>
  </si>
  <si>
    <t>Comentarios</t>
  </si>
  <si>
    <t>Ok</t>
  </si>
  <si>
    <t>Falla</t>
  </si>
  <si>
    <t>CoT - EN:</t>
  </si>
  <si>
    <t>FS CoT - ES:</t>
  </si>
  <si>
    <t>FS CoT - EN:</t>
  </si>
  <si>
    <t xml:space="preserve">CoT - ES: </t>
  </si>
  <si>
    <t>Llama3</t>
  </si>
  <si>
    <t>Qwen 2.5</t>
  </si>
  <si>
    <t>CoT - ES: Respuesta correcta. Las reglas de aplicación no son las mencionadas en el GT. Referencias a reglas en inglés</t>
  </si>
  <si>
    <t>CoT - ES: El razonamiento no es correcto</t>
  </si>
  <si>
    <t>CoT - ES: El razonamiento y las reglas mencionadas no son precisas</t>
  </si>
  <si>
    <t>CoT - ES: El modelo asume que B vira y decide su penalizacion</t>
  </si>
  <si>
    <t>CoT - ES: Menciona regla correcta, pero sección incorrecta</t>
  </si>
  <si>
    <t>CoT - ES: El modelo asume que Y vira y lo penaliza</t>
  </si>
  <si>
    <t>CoT - ES: No identifica que B está en una penalización</t>
  </si>
  <si>
    <t>CoT - ES: Hay un razonmiento especial en el caso, que puede asociarse a reglas de negocio</t>
  </si>
  <si>
    <t>CoT - ES: El modelo asume que debe penalizar a algun barco</t>
  </si>
  <si>
    <t>CoT - ES: Razonamiento correcto</t>
  </si>
  <si>
    <r>
      <rPr>
        <b/>
        <sz val="10"/>
        <color theme="1"/>
        <rFont val="Arial"/>
        <family val="2"/>
        <scheme val="minor"/>
      </rPr>
      <t>Hechos</t>
    </r>
    <r>
      <rPr>
        <sz val="10"/>
        <color theme="1"/>
        <rFont val="Arial"/>
        <family val="2"/>
        <scheme val="minor"/>
      </rPr>
      <t xml:space="preserve">: X frena en la marca para atrapar a B. B choca con X .
</t>
    </r>
    <r>
      <rPr>
        <b/>
        <sz val="10"/>
        <color theme="1"/>
        <rFont val="Arial"/>
        <family val="2"/>
        <scheme val="minor"/>
      </rPr>
      <t>Norma</t>
    </r>
    <r>
      <rPr>
        <sz val="10"/>
        <color theme="1"/>
        <rFont val="Arial"/>
        <family val="2"/>
        <scheme val="minor"/>
      </rPr>
      <t xml:space="preserve">: Regla 11 y 18.2 según TR CALL J9 .
</t>
    </r>
    <r>
      <rPr>
        <b/>
        <sz val="10"/>
        <color theme="1"/>
        <rFont val="Arial"/>
        <family val="2"/>
        <scheme val="minor"/>
      </rPr>
      <t>Rationale</t>
    </r>
    <r>
      <rPr>
        <sz val="10"/>
        <color theme="1"/>
        <rFont val="Arial"/>
        <family val="2"/>
        <scheme val="minor"/>
      </rPr>
      <t xml:space="preserve">: X es el barco con derecho de paso y espacio de marca. B (barlovento) debe mantenerse alejada de X independientemente de la táctica de equipo de X .
</t>
    </r>
    <r>
      <rPr>
        <b/>
        <sz val="10"/>
        <color theme="1"/>
        <rFont val="Arial"/>
        <family val="2"/>
        <scheme val="minor"/>
      </rPr>
      <t>Decisión</t>
    </r>
    <r>
      <rPr>
        <sz val="10"/>
        <color theme="1"/>
        <rFont val="Arial"/>
        <family val="2"/>
        <scheme val="minor"/>
      </rPr>
      <t>: Penalizar a X.</t>
    </r>
  </si>
  <si>
    <t>CoT - ES:  Situacion compleja, tal vez es necesario profundizar en instrucciones para el modelo</t>
  </si>
  <si>
    <t>CoT - ES: Reglas diferentes</t>
  </si>
  <si>
    <t>CoT - ES: Alucina con las identificacions de los barcos</t>
  </si>
  <si>
    <t>CoT - System Prompt 
en Español</t>
  </si>
  <si>
    <t>CoT - System Prompt 
en Inglés</t>
  </si>
  <si>
    <t>CoT - EN: Confunde los nombres de los barcos</t>
  </si>
  <si>
    <t>CoT - EN: Idem en español</t>
  </si>
  <si>
    <t>CoT - EN:Hace un razonamieno claro, pero erra la decisión</t>
  </si>
  <si>
    <t>CoT - EN: Decide penalizar a Y</t>
  </si>
  <si>
    <t>CoT - EN: Penaliza al barco erroneo</t>
  </si>
  <si>
    <t>CoT - EN: Identifica al barco responsable, pero no se da cuenta de agregar una nueva penalizacion</t>
  </si>
  <si>
    <t>CoT - EN: Menciona reglas diferentes, pero responde bien</t>
  </si>
  <si>
    <t>CoT - EN: Decide la penalizacion de B</t>
  </si>
  <si>
    <t>CoT - EN: Alucina con nombres de barcos y erra el razonamiento</t>
  </si>
  <si>
    <t>CoT - EN: la descripcion del escenario puede ser determinante en el resultado</t>
  </si>
  <si>
    <t>FS CoT - System Prompt 
en Español</t>
  </si>
  <si>
    <t>FS CoT - System Prompt 
en Inglés</t>
  </si>
  <si>
    <t>Evaluacion con Llama3</t>
  </si>
  <si>
    <t>Evaluacion con Qwen</t>
  </si>
  <si>
    <t>FS CoT - ES:Razonamiento correcto</t>
  </si>
  <si>
    <t>FS CoT - ES:Penaliza correctamente a B, pero tambien penaliza a Y de manera incorrecta</t>
  </si>
  <si>
    <t>FS CoT - ES: Correcto, pero confunde reglas</t>
  </si>
  <si>
    <t>En español FS CoT es sensiblemente mas lento</t>
  </si>
  <si>
    <t>Añlgunos casos presentan una complejidad por "reglas de negocio" que el modelo no puede resolver. Hay oportunidad de mejora con el system prompt</t>
  </si>
  <si>
    <t>FS CoT - ES:Penaliza a Y</t>
  </si>
  <si>
    <t>FS CoT - ES: se complica con el razonamiento</t>
  </si>
  <si>
    <t>FS CoT - ES: No identifica que B está cumoliendo una penalización</t>
  </si>
  <si>
    <t>Qwen</t>
  </si>
  <si>
    <t>El razonamiento parece ser mas completo</t>
  </si>
  <si>
    <t>En general es mas lento para responer</t>
  </si>
  <si>
    <t>El razonamiento y el detalle para responder es mucho mejor. Identifica mejor las reglas a aplicar</t>
  </si>
  <si>
    <t>Generales</t>
  </si>
  <si>
    <t>A veces los modelos "renombran" a los barcos. Hay que resolver eso para evitar confusiones</t>
  </si>
  <si>
    <t>FS CoT - ES: Falla al no penalizar a Y porque asume que esta ahí de manera accidental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</si>
</sst>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0"/>
      <name val="Arial"/>
      <family val="2"/>
      <scheme val="minor"/>
    </font>
    <font>
      <sz val="10"/>
      <color rgb="FF000000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465926084170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54">
    <xf numFmtId="0" fontId="0" fillId="0" borderId="0" xfId="0"/>
    <xf numFmtId="0" fontId="3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9" fontId="0" fillId="0" borderId="0" xfId="1" applyFont="1"/>
    <xf numFmtId="0" fontId="3" fillId="0" borderId="13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3" borderId="14" xfId="0" applyFont="1" applyFill="1" applyBorder="1" applyAlignment="1">
      <alignment horizontal="left" vertical="center" wrapText="1"/>
    </xf>
    <xf numFmtId="0" fontId="3" fillId="4" borderId="14" xfId="0" applyFont="1" applyFill="1" applyBorder="1" applyAlignment="1">
      <alignment horizontal="left" vertical="center" wrapText="1"/>
    </xf>
    <xf numFmtId="0" fontId="0" fillId="5" borderId="0" xfId="0" applyFill="1"/>
    <xf numFmtId="0" fontId="3" fillId="5" borderId="1" xfId="0" applyFont="1" applyFill="1" applyBorder="1" applyAlignment="1">
      <alignment horizontal="center"/>
    </xf>
    <xf numFmtId="9" fontId="0" fillId="5" borderId="1" xfId="1" applyFont="1" applyFill="1" applyBorder="1" applyAlignment="1">
      <alignment horizontal="center" vertical="center"/>
    </xf>
    <xf numFmtId="0" fontId="0" fillId="4" borderId="0" xfId="0" applyFill="1"/>
    <xf numFmtId="0" fontId="3" fillId="4" borderId="1" xfId="0" applyFont="1" applyFill="1" applyBorder="1" applyAlignment="1">
      <alignment horizontal="center"/>
    </xf>
    <xf numFmtId="9" fontId="0" fillId="4" borderId="1" xfId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top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E17"/>
  <sheetViews>
    <sheetView tabSelected="1" topLeftCell="A7" zoomScale="132" zoomScaleNormal="132" workbookViewId="0">
      <pane xSplit="1" topLeftCell="B1" activePane="topRight" state="frozen"/>
      <selection pane="topRight" activeCell="C9" sqref="C9"/>
    </sheetView>
  </sheetViews>
  <sheetFormatPr baseColWidth="10" defaultColWidth="12.6640625" defaultRowHeight="15.75" customHeight="1" x14ac:dyDescent="0.15"/>
  <cols>
    <col min="2" max="2" width="35" customWidth="1"/>
    <col min="3" max="3" width="71.5" customWidth="1"/>
    <col min="4" max="4" width="86" customWidth="1"/>
  </cols>
  <sheetData>
    <row r="2" spans="1:5" ht="15.75" customHeight="1" x14ac:dyDescent="0.15">
      <c r="A2" s="5" t="s">
        <v>0</v>
      </c>
      <c r="B2" s="5" t="s">
        <v>1</v>
      </c>
      <c r="C2" s="5" t="s">
        <v>2</v>
      </c>
      <c r="D2" s="5" t="s">
        <v>3</v>
      </c>
    </row>
    <row r="3" spans="1:5" ht="77" customHeight="1" x14ac:dyDescent="0.15">
      <c r="A3" s="2">
        <v>1</v>
      </c>
      <c r="B3" s="3" t="s">
        <v>4</v>
      </c>
      <c r="C3" s="4" t="s">
        <v>22</v>
      </c>
      <c r="D3" s="4" t="s">
        <v>34</v>
      </c>
      <c r="E3" s="1"/>
    </row>
    <row r="4" spans="1:5" ht="70" x14ac:dyDescent="0.15">
      <c r="A4" s="2">
        <v>2</v>
      </c>
      <c r="B4" s="3" t="s">
        <v>5</v>
      </c>
      <c r="C4" s="53" t="s">
        <v>23</v>
      </c>
      <c r="D4" s="53" t="s">
        <v>35</v>
      </c>
    </row>
    <row r="5" spans="1:5" ht="84" x14ac:dyDescent="0.15">
      <c r="A5" s="2">
        <v>3</v>
      </c>
      <c r="B5" s="3" t="s">
        <v>6</v>
      </c>
      <c r="C5" s="4" t="s">
        <v>24</v>
      </c>
      <c r="D5" s="4" t="s">
        <v>36</v>
      </c>
    </row>
    <row r="6" spans="1:5" ht="70" x14ac:dyDescent="0.15">
      <c r="A6" s="2">
        <v>4</v>
      </c>
      <c r="B6" s="3" t="s">
        <v>7</v>
      </c>
      <c r="C6" s="4" t="s">
        <v>25</v>
      </c>
      <c r="D6" s="4" t="s">
        <v>37</v>
      </c>
    </row>
    <row r="7" spans="1:5" ht="84" x14ac:dyDescent="0.15">
      <c r="A7" s="2">
        <v>5</v>
      </c>
      <c r="B7" s="3" t="s">
        <v>8</v>
      </c>
      <c r="C7" s="53" t="s">
        <v>26</v>
      </c>
      <c r="D7" s="53" t="s">
        <v>38</v>
      </c>
    </row>
    <row r="8" spans="1:5" ht="84" x14ac:dyDescent="0.15">
      <c r="A8" s="2">
        <v>6</v>
      </c>
      <c r="B8" s="3" t="s">
        <v>9</v>
      </c>
      <c r="C8" s="4" t="s">
        <v>27</v>
      </c>
      <c r="D8" s="4" t="s">
        <v>39</v>
      </c>
    </row>
    <row r="9" spans="1:5" ht="70" x14ac:dyDescent="0.15">
      <c r="A9" s="2">
        <v>7</v>
      </c>
      <c r="B9" s="3" t="s">
        <v>10</v>
      </c>
      <c r="C9" s="4" t="s">
        <v>11</v>
      </c>
      <c r="D9" s="4" t="s">
        <v>40</v>
      </c>
    </row>
    <row r="10" spans="1:5" ht="70" x14ac:dyDescent="0.15">
      <c r="A10" s="2">
        <v>8</v>
      </c>
      <c r="B10" s="3" t="s">
        <v>12</v>
      </c>
      <c r="C10" s="4" t="s">
        <v>28</v>
      </c>
      <c r="D10" s="4" t="s">
        <v>41</v>
      </c>
    </row>
    <row r="11" spans="1:5" ht="70" x14ac:dyDescent="0.15">
      <c r="A11" s="2">
        <v>9</v>
      </c>
      <c r="B11" s="3" t="s">
        <v>13</v>
      </c>
      <c r="C11" s="4" t="s">
        <v>14</v>
      </c>
      <c r="D11" s="4" t="s">
        <v>42</v>
      </c>
    </row>
    <row r="12" spans="1:5" ht="70" x14ac:dyDescent="0.15">
      <c r="A12" s="2">
        <v>10</v>
      </c>
      <c r="B12" s="3" t="s">
        <v>15</v>
      </c>
      <c r="C12" s="4" t="s">
        <v>29</v>
      </c>
      <c r="D12" s="4" t="s">
        <v>43</v>
      </c>
    </row>
    <row r="13" spans="1:5" ht="70" x14ac:dyDescent="0.15">
      <c r="A13" s="2">
        <v>11</v>
      </c>
      <c r="B13" s="3" t="s">
        <v>16</v>
      </c>
      <c r="C13" s="4" t="s">
        <v>17</v>
      </c>
      <c r="D13" s="4" t="s">
        <v>71</v>
      </c>
    </row>
    <row r="14" spans="1:5" ht="70" x14ac:dyDescent="0.15">
      <c r="A14" s="2">
        <v>12</v>
      </c>
      <c r="B14" s="3" t="s">
        <v>18</v>
      </c>
      <c r="C14" s="4" t="s">
        <v>30</v>
      </c>
      <c r="D14" s="4" t="s">
        <v>44</v>
      </c>
    </row>
    <row r="15" spans="1:5" ht="70" x14ac:dyDescent="0.15">
      <c r="A15" s="2">
        <v>13</v>
      </c>
      <c r="B15" s="3" t="s">
        <v>19</v>
      </c>
      <c r="C15" s="4" t="s">
        <v>31</v>
      </c>
      <c r="D15" s="4" t="s">
        <v>45</v>
      </c>
    </row>
    <row r="16" spans="1:5" ht="56" x14ac:dyDescent="0.15">
      <c r="A16" s="2">
        <v>14</v>
      </c>
      <c r="B16" s="3" t="s">
        <v>20</v>
      </c>
      <c r="C16" s="4" t="s">
        <v>32</v>
      </c>
      <c r="D16" s="4" t="s">
        <v>46</v>
      </c>
    </row>
    <row r="17" spans="1:4" ht="70" x14ac:dyDescent="0.15">
      <c r="A17" s="2">
        <v>15</v>
      </c>
      <c r="B17" s="3" t="s">
        <v>21</v>
      </c>
      <c r="C17" s="4" t="s">
        <v>33</v>
      </c>
      <c r="D17" s="4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DA499-0016-9E48-AD79-F5B2F70F2B84}">
  <dimension ref="A2:K64"/>
  <sheetViews>
    <sheetView topLeftCell="A37" zoomScaleNormal="100" workbookViewId="0">
      <pane xSplit="1" topLeftCell="B1" activePane="topRight" state="frozen"/>
      <selection pane="topRight" activeCell="C61" sqref="C61:C64"/>
    </sheetView>
  </sheetViews>
  <sheetFormatPr baseColWidth="10" defaultRowHeight="13" x14ac:dyDescent="0.15"/>
  <cols>
    <col min="2" max="2" width="14" bestFit="1" customWidth="1"/>
    <col min="3" max="3" width="12.33203125" bestFit="1" customWidth="1"/>
    <col min="4" max="4" width="14" bestFit="1" customWidth="1"/>
    <col min="5" max="5" width="15.83203125" customWidth="1"/>
    <col min="6" max="6" width="85.83203125" bestFit="1" customWidth="1"/>
    <col min="7" max="7" width="21.6640625" customWidth="1"/>
    <col min="8" max="8" width="23.5" customWidth="1"/>
    <col min="9" max="9" width="18.5" customWidth="1"/>
    <col min="10" max="10" width="26" customWidth="1"/>
    <col min="11" max="11" width="34.1640625" customWidth="1"/>
  </cols>
  <sheetData>
    <row r="2" spans="1:11" x14ac:dyDescent="0.15">
      <c r="B2" s="46" t="s">
        <v>59</v>
      </c>
      <c r="C2" s="46"/>
      <c r="D2" s="46"/>
      <c r="E2" s="46"/>
      <c r="F2" s="46"/>
      <c r="G2" s="46" t="s">
        <v>60</v>
      </c>
      <c r="H2" s="47"/>
      <c r="I2" s="47"/>
      <c r="J2" s="47"/>
      <c r="K2" s="47"/>
    </row>
    <row r="3" spans="1:11" ht="29" customHeight="1" x14ac:dyDescent="0.15">
      <c r="A3" s="51" t="s">
        <v>0</v>
      </c>
      <c r="B3" s="48" t="s">
        <v>50</v>
      </c>
      <c r="C3" s="49"/>
      <c r="D3" s="50" t="s">
        <v>51</v>
      </c>
      <c r="E3" s="49"/>
      <c r="F3" s="44" t="s">
        <v>52</v>
      </c>
      <c r="G3" s="48" t="s">
        <v>50</v>
      </c>
      <c r="H3" s="49"/>
      <c r="I3" s="50" t="s">
        <v>51</v>
      </c>
      <c r="J3" s="49"/>
      <c r="K3" s="44" t="s">
        <v>52</v>
      </c>
    </row>
    <row r="4" spans="1:11" x14ac:dyDescent="0.15">
      <c r="A4" s="52"/>
      <c r="B4" s="6" t="s">
        <v>48</v>
      </c>
      <c r="C4" s="6" t="s">
        <v>49</v>
      </c>
      <c r="D4" s="6" t="s">
        <v>48</v>
      </c>
      <c r="E4" s="6" t="s">
        <v>49</v>
      </c>
      <c r="F4" s="45"/>
      <c r="G4" s="6" t="s">
        <v>48</v>
      </c>
      <c r="H4" s="6" t="s">
        <v>49</v>
      </c>
      <c r="I4" s="6" t="s">
        <v>48</v>
      </c>
      <c r="J4" s="6" t="s">
        <v>49</v>
      </c>
      <c r="K4" s="45"/>
    </row>
    <row r="5" spans="1:11" ht="28" x14ac:dyDescent="0.15">
      <c r="A5" s="37">
        <v>1</v>
      </c>
      <c r="B5" s="42" t="s">
        <v>53</v>
      </c>
      <c r="C5" s="43" t="s">
        <v>53</v>
      </c>
      <c r="D5" s="43" t="s">
        <v>53</v>
      </c>
      <c r="E5" s="43" t="s">
        <v>53</v>
      </c>
      <c r="F5" s="8" t="s">
        <v>61</v>
      </c>
      <c r="G5" s="42" t="s">
        <v>53</v>
      </c>
      <c r="H5" s="43" t="s">
        <v>53</v>
      </c>
      <c r="I5" s="43" t="s">
        <v>53</v>
      </c>
      <c r="J5" s="43" t="s">
        <v>53</v>
      </c>
      <c r="K5" s="8" t="s">
        <v>58</v>
      </c>
    </row>
    <row r="6" spans="1:11" ht="14" x14ac:dyDescent="0.15">
      <c r="A6" s="38"/>
      <c r="B6" s="32"/>
      <c r="C6" s="40"/>
      <c r="D6" s="40"/>
      <c r="E6" s="40"/>
      <c r="F6" s="9" t="s">
        <v>77</v>
      </c>
      <c r="G6" s="32"/>
      <c r="H6" s="40"/>
      <c r="I6" s="40"/>
      <c r="J6" s="40"/>
      <c r="K6" s="9" t="s">
        <v>55</v>
      </c>
    </row>
    <row r="7" spans="1:11" ht="28" customHeight="1" x14ac:dyDescent="0.15">
      <c r="A7" s="38"/>
      <c r="B7" s="32"/>
      <c r="C7" s="40"/>
      <c r="D7" s="40"/>
      <c r="E7" s="40"/>
      <c r="F7" s="9" t="s">
        <v>91</v>
      </c>
      <c r="G7" s="32"/>
      <c r="H7" s="40"/>
      <c r="I7" s="40"/>
      <c r="J7" s="40"/>
      <c r="K7" s="9" t="s">
        <v>56</v>
      </c>
    </row>
    <row r="8" spans="1:11" ht="28" customHeight="1" x14ac:dyDescent="0.15">
      <c r="A8" s="39"/>
      <c r="B8" s="32"/>
      <c r="C8" s="40"/>
      <c r="D8" s="40"/>
      <c r="E8" s="40"/>
      <c r="F8" s="9" t="s">
        <v>57</v>
      </c>
      <c r="G8" s="32"/>
      <c r="H8" s="40"/>
      <c r="I8" s="40"/>
      <c r="J8" s="40"/>
      <c r="K8" s="9" t="s">
        <v>57</v>
      </c>
    </row>
    <row r="9" spans="1:11" ht="14" x14ac:dyDescent="0.15">
      <c r="A9" s="37">
        <v>2</v>
      </c>
      <c r="B9" s="32" t="s">
        <v>54</v>
      </c>
      <c r="C9" s="34" t="s">
        <v>54</v>
      </c>
      <c r="D9" s="34" t="s">
        <v>53</v>
      </c>
      <c r="E9" s="34" t="s">
        <v>54</v>
      </c>
      <c r="F9" s="9" t="s">
        <v>62</v>
      </c>
      <c r="G9" s="32" t="s">
        <v>53</v>
      </c>
      <c r="H9" s="34" t="s">
        <v>53</v>
      </c>
      <c r="I9" s="34" t="s">
        <v>53</v>
      </c>
      <c r="J9" s="34" t="s">
        <v>53</v>
      </c>
      <c r="K9" s="9" t="s">
        <v>58</v>
      </c>
    </row>
    <row r="10" spans="1:11" ht="14" x14ac:dyDescent="0.15">
      <c r="A10" s="38"/>
      <c r="B10" s="32"/>
      <c r="C10" s="40"/>
      <c r="D10" s="40"/>
      <c r="E10" s="40"/>
      <c r="F10" s="9" t="s">
        <v>79</v>
      </c>
      <c r="G10" s="32"/>
      <c r="H10" s="40"/>
      <c r="I10" s="40"/>
      <c r="J10" s="40"/>
      <c r="K10" s="9" t="s">
        <v>55</v>
      </c>
    </row>
    <row r="11" spans="1:11" ht="14" x14ac:dyDescent="0.15">
      <c r="A11" s="38"/>
      <c r="B11" s="32"/>
      <c r="C11" s="40"/>
      <c r="D11" s="40"/>
      <c r="E11" s="40"/>
      <c r="F11" s="9" t="s">
        <v>92</v>
      </c>
      <c r="G11" s="32"/>
      <c r="H11" s="40"/>
      <c r="I11" s="40"/>
      <c r="J11" s="40"/>
      <c r="K11" s="9" t="s">
        <v>56</v>
      </c>
    </row>
    <row r="12" spans="1:11" ht="14" x14ac:dyDescent="0.15">
      <c r="A12" s="39"/>
      <c r="B12" s="32"/>
      <c r="C12" s="40"/>
      <c r="D12" s="40"/>
      <c r="E12" s="40"/>
      <c r="F12" s="9" t="s">
        <v>57</v>
      </c>
      <c r="G12" s="32"/>
      <c r="H12" s="40"/>
      <c r="I12" s="40"/>
      <c r="J12" s="40"/>
      <c r="K12" s="9" t="s">
        <v>57</v>
      </c>
    </row>
    <row r="13" spans="1:11" ht="14" x14ac:dyDescent="0.15">
      <c r="A13" s="37">
        <v>3</v>
      </c>
      <c r="B13" s="32" t="s">
        <v>53</v>
      </c>
      <c r="C13" s="34" t="s">
        <v>53</v>
      </c>
      <c r="D13" s="34" t="s">
        <v>53</v>
      </c>
      <c r="E13" s="34" t="s">
        <v>53</v>
      </c>
      <c r="F13" s="9" t="s">
        <v>63</v>
      </c>
      <c r="G13" s="32" t="s">
        <v>53</v>
      </c>
      <c r="H13" s="34" t="s">
        <v>53</v>
      </c>
      <c r="I13" s="34" t="s">
        <v>53</v>
      </c>
      <c r="J13" s="34" t="s">
        <v>53</v>
      </c>
      <c r="K13" s="9" t="s">
        <v>58</v>
      </c>
    </row>
    <row r="14" spans="1:11" ht="14" x14ac:dyDescent="0.15">
      <c r="A14" s="38"/>
      <c r="B14" s="32"/>
      <c r="C14" s="40"/>
      <c r="D14" s="40"/>
      <c r="E14" s="40"/>
      <c r="F14" s="9" t="s">
        <v>78</v>
      </c>
      <c r="G14" s="32"/>
      <c r="H14" s="40"/>
      <c r="I14" s="40"/>
      <c r="J14" s="40"/>
      <c r="K14" s="9" t="s">
        <v>55</v>
      </c>
    </row>
    <row r="15" spans="1:11" ht="14" x14ac:dyDescent="0.15">
      <c r="A15" s="38"/>
      <c r="B15" s="32"/>
      <c r="C15" s="40"/>
      <c r="D15" s="40"/>
      <c r="E15" s="40"/>
      <c r="F15" s="9" t="s">
        <v>93</v>
      </c>
      <c r="G15" s="32"/>
      <c r="H15" s="40"/>
      <c r="I15" s="40"/>
      <c r="J15" s="40"/>
      <c r="K15" s="9" t="s">
        <v>56</v>
      </c>
    </row>
    <row r="16" spans="1:11" ht="14" x14ac:dyDescent="0.15">
      <c r="A16" s="39"/>
      <c r="B16" s="32"/>
      <c r="C16" s="40"/>
      <c r="D16" s="40"/>
      <c r="E16" s="40"/>
      <c r="F16" s="9" t="s">
        <v>57</v>
      </c>
      <c r="G16" s="32"/>
      <c r="H16" s="40"/>
      <c r="I16" s="40"/>
      <c r="J16" s="40"/>
      <c r="K16" s="9" t="s">
        <v>57</v>
      </c>
    </row>
    <row r="17" spans="1:11" ht="14" x14ac:dyDescent="0.15">
      <c r="A17" s="37">
        <v>4</v>
      </c>
      <c r="B17" s="32" t="s">
        <v>53</v>
      </c>
      <c r="C17" s="34" t="s">
        <v>54</v>
      </c>
      <c r="D17" s="34" t="s">
        <v>54</v>
      </c>
      <c r="E17" s="34" t="s">
        <v>54</v>
      </c>
      <c r="F17" s="9" t="s">
        <v>64</v>
      </c>
      <c r="G17" s="32" t="s">
        <v>54</v>
      </c>
      <c r="H17" s="34" t="s">
        <v>54</v>
      </c>
      <c r="I17" s="34" t="s">
        <v>54</v>
      </c>
      <c r="J17" s="34" t="s">
        <v>54</v>
      </c>
      <c r="K17" s="9" t="s">
        <v>58</v>
      </c>
    </row>
    <row r="18" spans="1:11" ht="14" x14ac:dyDescent="0.15">
      <c r="A18" s="38"/>
      <c r="B18" s="32"/>
      <c r="C18" s="40"/>
      <c r="D18" s="40"/>
      <c r="E18" s="40"/>
      <c r="F18" s="9" t="s">
        <v>80</v>
      </c>
      <c r="G18" s="32"/>
      <c r="H18" s="40"/>
      <c r="I18" s="40"/>
      <c r="J18" s="40"/>
      <c r="K18" s="9" t="s">
        <v>55</v>
      </c>
    </row>
    <row r="19" spans="1:11" ht="14" x14ac:dyDescent="0.15">
      <c r="A19" s="38"/>
      <c r="B19" s="32"/>
      <c r="C19" s="40"/>
      <c r="D19" s="40"/>
      <c r="E19" s="40"/>
      <c r="F19" s="9" t="s">
        <v>96</v>
      </c>
      <c r="G19" s="32"/>
      <c r="H19" s="40"/>
      <c r="I19" s="40"/>
      <c r="J19" s="40"/>
      <c r="K19" s="9" t="s">
        <v>56</v>
      </c>
    </row>
    <row r="20" spans="1:11" ht="14" x14ac:dyDescent="0.15">
      <c r="A20" s="39"/>
      <c r="B20" s="32"/>
      <c r="C20" s="40"/>
      <c r="D20" s="40"/>
      <c r="E20" s="40"/>
      <c r="F20" s="9" t="s">
        <v>57</v>
      </c>
      <c r="G20" s="32"/>
      <c r="H20" s="40"/>
      <c r="I20" s="40"/>
      <c r="J20" s="40"/>
      <c r="K20" s="9" t="s">
        <v>57</v>
      </c>
    </row>
    <row r="21" spans="1:11" ht="14" x14ac:dyDescent="0.15">
      <c r="A21" s="36">
        <v>5</v>
      </c>
      <c r="B21" s="32" t="s">
        <v>53</v>
      </c>
      <c r="C21" s="34" t="s">
        <v>53</v>
      </c>
      <c r="D21" s="34" t="s">
        <v>54</v>
      </c>
      <c r="E21" s="34" t="s">
        <v>53</v>
      </c>
      <c r="F21" s="9" t="s">
        <v>65</v>
      </c>
      <c r="G21" s="32" t="s">
        <v>53</v>
      </c>
      <c r="H21" s="34" t="s">
        <v>53</v>
      </c>
      <c r="I21" s="34" t="s">
        <v>53</v>
      </c>
      <c r="J21" s="34" t="s">
        <v>53</v>
      </c>
      <c r="K21" s="9" t="s">
        <v>58</v>
      </c>
    </row>
    <row r="22" spans="1:11" ht="14" x14ac:dyDescent="0.15">
      <c r="A22" s="30"/>
      <c r="B22" s="32"/>
      <c r="C22" s="34"/>
      <c r="D22" s="34"/>
      <c r="E22" s="34"/>
      <c r="F22" s="9" t="s">
        <v>78</v>
      </c>
      <c r="G22" s="32"/>
      <c r="H22" s="34"/>
      <c r="I22" s="34"/>
      <c r="J22" s="34"/>
      <c r="K22" s="9" t="s">
        <v>55</v>
      </c>
    </row>
    <row r="23" spans="1:11" ht="14" x14ac:dyDescent="0.15">
      <c r="A23" s="30"/>
      <c r="B23" s="32"/>
      <c r="C23" s="34"/>
      <c r="D23" s="34"/>
      <c r="E23" s="34"/>
      <c r="F23" s="9" t="s">
        <v>97</v>
      </c>
      <c r="G23" s="32"/>
      <c r="H23" s="34"/>
      <c r="I23" s="34"/>
      <c r="J23" s="34"/>
      <c r="K23" s="9" t="s">
        <v>56</v>
      </c>
    </row>
    <row r="24" spans="1:11" ht="14" x14ac:dyDescent="0.15">
      <c r="A24" s="41"/>
      <c r="B24" s="32"/>
      <c r="C24" s="34"/>
      <c r="D24" s="34"/>
      <c r="E24" s="34"/>
      <c r="F24" s="9" t="s">
        <v>57</v>
      </c>
      <c r="G24" s="32"/>
      <c r="H24" s="34"/>
      <c r="I24" s="34"/>
      <c r="J24" s="34"/>
      <c r="K24" s="9" t="s">
        <v>57</v>
      </c>
    </row>
    <row r="25" spans="1:11" ht="14" x14ac:dyDescent="0.15">
      <c r="A25" s="36">
        <v>6</v>
      </c>
      <c r="B25" s="32" t="s">
        <v>53</v>
      </c>
      <c r="C25" s="34" t="s">
        <v>54</v>
      </c>
      <c r="D25" s="34" t="s">
        <v>53</v>
      </c>
      <c r="E25" s="34" t="s">
        <v>54</v>
      </c>
      <c r="F25" s="9" t="s">
        <v>66</v>
      </c>
      <c r="G25" s="32" t="s">
        <v>53</v>
      </c>
      <c r="H25" s="34" t="s">
        <v>54</v>
      </c>
      <c r="I25" s="34" t="s">
        <v>53</v>
      </c>
      <c r="J25" s="34" t="s">
        <v>54</v>
      </c>
      <c r="K25" s="9" t="s">
        <v>58</v>
      </c>
    </row>
    <row r="26" spans="1:11" ht="14" x14ac:dyDescent="0.15">
      <c r="A26" s="30"/>
      <c r="B26" s="32"/>
      <c r="C26" s="34"/>
      <c r="D26" s="34"/>
      <c r="E26" s="34"/>
      <c r="F26" s="9" t="s">
        <v>81</v>
      </c>
      <c r="G26" s="32"/>
      <c r="H26" s="34"/>
      <c r="I26" s="34"/>
      <c r="J26" s="34"/>
      <c r="K26" s="9" t="s">
        <v>55</v>
      </c>
    </row>
    <row r="27" spans="1:11" ht="14" x14ac:dyDescent="0.15">
      <c r="A27" s="30"/>
      <c r="B27" s="32"/>
      <c r="C27" s="34"/>
      <c r="D27" s="34"/>
      <c r="E27" s="34"/>
      <c r="F27" s="9" t="s">
        <v>56</v>
      </c>
      <c r="G27" s="32"/>
      <c r="H27" s="34"/>
      <c r="I27" s="34"/>
      <c r="J27" s="34"/>
      <c r="K27" s="9" t="s">
        <v>56</v>
      </c>
    </row>
    <row r="28" spans="1:11" ht="14" x14ac:dyDescent="0.15">
      <c r="A28" s="31"/>
      <c r="B28" s="32"/>
      <c r="C28" s="34"/>
      <c r="D28" s="34"/>
      <c r="E28" s="34"/>
      <c r="F28" s="9" t="s">
        <v>57</v>
      </c>
      <c r="G28" s="32"/>
      <c r="H28" s="34"/>
      <c r="I28" s="34"/>
      <c r="J28" s="34"/>
      <c r="K28" s="9" t="s">
        <v>57</v>
      </c>
    </row>
    <row r="29" spans="1:11" ht="14" x14ac:dyDescent="0.15">
      <c r="A29" s="29">
        <v>7</v>
      </c>
      <c r="B29" s="32" t="s">
        <v>54</v>
      </c>
      <c r="C29" s="34" t="s">
        <v>53</v>
      </c>
      <c r="D29" s="34" t="s">
        <v>54</v>
      </c>
      <c r="E29" s="34" t="s">
        <v>54</v>
      </c>
      <c r="F29" s="9" t="s">
        <v>67</v>
      </c>
      <c r="G29" s="32" t="s">
        <v>54</v>
      </c>
      <c r="H29" s="34" t="s">
        <v>54</v>
      </c>
      <c r="I29" s="34" t="s">
        <v>53</v>
      </c>
      <c r="J29" s="34" t="s">
        <v>53</v>
      </c>
      <c r="K29" s="9" t="s">
        <v>58</v>
      </c>
    </row>
    <row r="30" spans="1:11" ht="14" x14ac:dyDescent="0.15">
      <c r="A30" s="30"/>
      <c r="B30" s="32"/>
      <c r="C30" s="34"/>
      <c r="D30" s="34"/>
      <c r="E30" s="34"/>
      <c r="F30" s="12" t="s">
        <v>82</v>
      </c>
      <c r="G30" s="32"/>
      <c r="H30" s="34"/>
      <c r="I30" s="34"/>
      <c r="J30" s="34"/>
      <c r="K30" s="9" t="s">
        <v>55</v>
      </c>
    </row>
    <row r="31" spans="1:11" ht="14" x14ac:dyDescent="0.15">
      <c r="A31" s="30"/>
      <c r="B31" s="32"/>
      <c r="C31" s="34"/>
      <c r="D31" s="34"/>
      <c r="E31" s="34"/>
      <c r="F31" s="9" t="s">
        <v>98</v>
      </c>
      <c r="G31" s="32"/>
      <c r="H31" s="34"/>
      <c r="I31" s="34"/>
      <c r="J31" s="34"/>
      <c r="K31" s="9" t="s">
        <v>56</v>
      </c>
    </row>
    <row r="32" spans="1:11" ht="14" x14ac:dyDescent="0.15">
      <c r="A32" s="31"/>
      <c r="B32" s="32"/>
      <c r="C32" s="34"/>
      <c r="D32" s="34"/>
      <c r="E32" s="34"/>
      <c r="F32" s="9" t="s">
        <v>57</v>
      </c>
      <c r="G32" s="32"/>
      <c r="H32" s="34"/>
      <c r="I32" s="34"/>
      <c r="J32" s="34"/>
      <c r="K32" s="9" t="s">
        <v>57</v>
      </c>
    </row>
    <row r="33" spans="1:11" ht="14" x14ac:dyDescent="0.15">
      <c r="A33" s="29">
        <v>8</v>
      </c>
      <c r="B33" s="32" t="s">
        <v>54</v>
      </c>
      <c r="C33" s="34" t="s">
        <v>53</v>
      </c>
      <c r="D33" s="34" t="s">
        <v>54</v>
      </c>
      <c r="E33" s="34" t="s">
        <v>54</v>
      </c>
      <c r="F33" s="9" t="s">
        <v>68</v>
      </c>
      <c r="G33" s="32" t="s">
        <v>54</v>
      </c>
      <c r="H33" s="34" t="s">
        <v>54</v>
      </c>
      <c r="I33" s="34" t="s">
        <v>54</v>
      </c>
      <c r="J33" s="34" t="s">
        <v>54</v>
      </c>
      <c r="K33" s="9" t="s">
        <v>58</v>
      </c>
    </row>
    <row r="34" spans="1:11" ht="14" x14ac:dyDescent="0.15">
      <c r="A34" s="30"/>
      <c r="B34" s="32"/>
      <c r="C34" s="34"/>
      <c r="D34" s="34"/>
      <c r="E34" s="34"/>
      <c r="F34" s="9" t="s">
        <v>83</v>
      </c>
      <c r="G34" s="32"/>
      <c r="H34" s="34"/>
      <c r="I34" s="34"/>
      <c r="J34" s="34"/>
      <c r="K34" s="9" t="s">
        <v>55</v>
      </c>
    </row>
    <row r="35" spans="1:11" ht="14" x14ac:dyDescent="0.15">
      <c r="A35" s="30"/>
      <c r="B35" s="32"/>
      <c r="C35" s="34"/>
      <c r="D35" s="34"/>
      <c r="E35" s="34"/>
      <c r="F35" s="9" t="s">
        <v>56</v>
      </c>
      <c r="G35" s="32"/>
      <c r="H35" s="34"/>
      <c r="I35" s="34"/>
      <c r="J35" s="34"/>
      <c r="K35" s="9" t="s">
        <v>56</v>
      </c>
    </row>
    <row r="36" spans="1:11" ht="14" x14ac:dyDescent="0.15">
      <c r="A36" s="31"/>
      <c r="B36" s="32"/>
      <c r="C36" s="34"/>
      <c r="D36" s="34"/>
      <c r="E36" s="34"/>
      <c r="F36" s="9" t="s">
        <v>57</v>
      </c>
      <c r="G36" s="32"/>
      <c r="H36" s="34"/>
      <c r="I36" s="34"/>
      <c r="J36" s="34"/>
      <c r="K36" s="9" t="s">
        <v>57</v>
      </c>
    </row>
    <row r="37" spans="1:11" ht="14" x14ac:dyDescent="0.15">
      <c r="A37" s="29">
        <v>9</v>
      </c>
      <c r="B37" s="32" t="s">
        <v>53</v>
      </c>
      <c r="C37" s="34" t="s">
        <v>53</v>
      </c>
      <c r="D37" s="34" t="s">
        <v>54</v>
      </c>
      <c r="E37" s="34" t="s">
        <v>54</v>
      </c>
      <c r="F37" s="9" t="s">
        <v>69</v>
      </c>
      <c r="G37" s="32" t="s">
        <v>54</v>
      </c>
      <c r="H37" s="34" t="s">
        <v>54</v>
      </c>
      <c r="I37" s="34" t="s">
        <v>54</v>
      </c>
      <c r="J37" s="34" t="s">
        <v>54</v>
      </c>
      <c r="K37" s="9" t="s">
        <v>58</v>
      </c>
    </row>
    <row r="38" spans="1:11" ht="14" x14ac:dyDescent="0.15">
      <c r="A38" s="30"/>
      <c r="B38" s="32"/>
      <c r="C38" s="34"/>
      <c r="D38" s="34"/>
      <c r="E38" s="34"/>
      <c r="F38" s="9" t="s">
        <v>78</v>
      </c>
      <c r="G38" s="32"/>
      <c r="H38" s="34"/>
      <c r="I38" s="34"/>
      <c r="J38" s="34"/>
      <c r="K38" s="9" t="s">
        <v>55</v>
      </c>
    </row>
    <row r="39" spans="1:11" ht="14" x14ac:dyDescent="0.15">
      <c r="A39" s="30"/>
      <c r="B39" s="32"/>
      <c r="C39" s="34"/>
      <c r="D39" s="34"/>
      <c r="E39" s="34"/>
      <c r="F39" s="9" t="s">
        <v>56</v>
      </c>
      <c r="G39" s="32"/>
      <c r="H39" s="34"/>
      <c r="I39" s="34"/>
      <c r="J39" s="34"/>
      <c r="K39" s="9" t="s">
        <v>56</v>
      </c>
    </row>
    <row r="40" spans="1:11" ht="14" x14ac:dyDescent="0.15">
      <c r="A40" s="31"/>
      <c r="B40" s="32"/>
      <c r="C40" s="34"/>
      <c r="D40" s="34"/>
      <c r="E40" s="34"/>
      <c r="F40" s="9" t="s">
        <v>57</v>
      </c>
      <c r="G40" s="32"/>
      <c r="H40" s="34"/>
      <c r="I40" s="34"/>
      <c r="J40" s="34"/>
      <c r="K40" s="9" t="s">
        <v>57</v>
      </c>
    </row>
    <row r="41" spans="1:11" ht="14" x14ac:dyDescent="0.15">
      <c r="A41" s="29">
        <v>10</v>
      </c>
      <c r="B41" s="32" t="s">
        <v>53</v>
      </c>
      <c r="C41" s="34" t="s">
        <v>54</v>
      </c>
      <c r="D41" s="34" t="s">
        <v>53</v>
      </c>
      <c r="E41" s="34" t="s">
        <v>53</v>
      </c>
      <c r="F41" s="11" t="s">
        <v>70</v>
      </c>
      <c r="G41" s="32" t="s">
        <v>53</v>
      </c>
      <c r="H41" s="34" t="s">
        <v>53</v>
      </c>
      <c r="I41" s="34" t="s">
        <v>53</v>
      </c>
      <c r="J41" s="34" t="s">
        <v>53</v>
      </c>
      <c r="K41" s="9" t="s">
        <v>58</v>
      </c>
    </row>
    <row r="42" spans="1:11" ht="14" x14ac:dyDescent="0.15">
      <c r="A42" s="30"/>
      <c r="B42" s="32"/>
      <c r="C42" s="34"/>
      <c r="D42" s="34"/>
      <c r="E42" s="34"/>
      <c r="F42" s="9" t="s">
        <v>55</v>
      </c>
      <c r="G42" s="32"/>
      <c r="H42" s="34"/>
      <c r="I42" s="34"/>
      <c r="J42" s="34"/>
      <c r="K42" s="9" t="s">
        <v>55</v>
      </c>
    </row>
    <row r="43" spans="1:11" ht="28" customHeight="1" x14ac:dyDescent="0.15">
      <c r="A43" s="30"/>
      <c r="B43" s="32"/>
      <c r="C43" s="34"/>
      <c r="D43" s="34"/>
      <c r="E43" s="34"/>
      <c r="F43" s="9" t="s">
        <v>56</v>
      </c>
      <c r="G43" s="32"/>
      <c r="H43" s="34"/>
      <c r="I43" s="34"/>
      <c r="J43" s="34"/>
      <c r="K43" s="9" t="s">
        <v>56</v>
      </c>
    </row>
    <row r="44" spans="1:11" ht="28" customHeight="1" x14ac:dyDescent="0.15">
      <c r="A44" s="31"/>
      <c r="B44" s="32"/>
      <c r="C44" s="34"/>
      <c r="D44" s="34"/>
      <c r="E44" s="34"/>
      <c r="F44" s="9" t="s">
        <v>57</v>
      </c>
      <c r="G44" s="32"/>
      <c r="H44" s="34"/>
      <c r="I44" s="34"/>
      <c r="J44" s="34"/>
      <c r="K44" s="9" t="s">
        <v>57</v>
      </c>
    </row>
    <row r="45" spans="1:11" ht="14" x14ac:dyDescent="0.15">
      <c r="A45" s="29">
        <v>11</v>
      </c>
      <c r="B45" s="32" t="s">
        <v>53</v>
      </c>
      <c r="C45" s="34" t="s">
        <v>53</v>
      </c>
      <c r="D45" s="34" t="s">
        <v>53</v>
      </c>
      <c r="E45" s="34" t="s">
        <v>53</v>
      </c>
      <c r="F45" s="9" t="s">
        <v>72</v>
      </c>
      <c r="G45" s="32" t="s">
        <v>53</v>
      </c>
      <c r="H45" s="34" t="s">
        <v>53</v>
      </c>
      <c r="I45" s="34" t="s">
        <v>53</v>
      </c>
      <c r="J45" s="34" t="s">
        <v>53</v>
      </c>
      <c r="K45" s="9" t="s">
        <v>58</v>
      </c>
    </row>
    <row r="46" spans="1:11" ht="14" x14ac:dyDescent="0.15">
      <c r="A46" s="30"/>
      <c r="B46" s="32"/>
      <c r="C46" s="34"/>
      <c r="D46" s="34"/>
      <c r="E46" s="34"/>
      <c r="F46" s="9" t="s">
        <v>78</v>
      </c>
      <c r="G46" s="32"/>
      <c r="H46" s="34"/>
      <c r="I46" s="34"/>
      <c r="J46" s="34"/>
      <c r="K46" s="9" t="s">
        <v>55</v>
      </c>
    </row>
    <row r="47" spans="1:11" ht="14" x14ac:dyDescent="0.15">
      <c r="A47" s="30"/>
      <c r="B47" s="32"/>
      <c r="C47" s="34"/>
      <c r="D47" s="34"/>
      <c r="E47" s="34"/>
      <c r="F47" s="9" t="s">
        <v>56</v>
      </c>
      <c r="G47" s="32"/>
      <c r="H47" s="34"/>
      <c r="I47" s="34"/>
      <c r="J47" s="34"/>
      <c r="K47" s="9" t="s">
        <v>56</v>
      </c>
    </row>
    <row r="48" spans="1:11" ht="14" x14ac:dyDescent="0.15">
      <c r="A48" s="31"/>
      <c r="B48" s="32"/>
      <c r="C48" s="34"/>
      <c r="D48" s="34"/>
      <c r="E48" s="34"/>
      <c r="F48" s="9" t="s">
        <v>57</v>
      </c>
      <c r="G48" s="32"/>
      <c r="H48" s="34"/>
      <c r="I48" s="34"/>
      <c r="J48" s="34"/>
      <c r="K48" s="9" t="s">
        <v>57</v>
      </c>
    </row>
    <row r="49" spans="1:11" ht="14" x14ac:dyDescent="0.15">
      <c r="A49" s="29">
        <v>12</v>
      </c>
      <c r="B49" s="32" t="s">
        <v>53</v>
      </c>
      <c r="C49" s="34" t="s">
        <v>53</v>
      </c>
      <c r="D49" s="34" t="s">
        <v>53</v>
      </c>
      <c r="E49" s="34" t="s">
        <v>53</v>
      </c>
      <c r="F49" s="9" t="s">
        <v>73</v>
      </c>
      <c r="G49" s="32" t="s">
        <v>53</v>
      </c>
      <c r="H49" s="34" t="s">
        <v>53</v>
      </c>
      <c r="I49" s="34" t="s">
        <v>53</v>
      </c>
      <c r="J49" s="34" t="s">
        <v>53</v>
      </c>
      <c r="K49" s="9" t="s">
        <v>58</v>
      </c>
    </row>
    <row r="50" spans="1:11" ht="14" x14ac:dyDescent="0.15">
      <c r="A50" s="30"/>
      <c r="B50" s="32"/>
      <c r="C50" s="34"/>
      <c r="D50" s="34"/>
      <c r="E50" s="34"/>
      <c r="F50" s="9" t="s">
        <v>78</v>
      </c>
      <c r="G50" s="32"/>
      <c r="H50" s="34"/>
      <c r="I50" s="34"/>
      <c r="J50" s="34"/>
      <c r="K50" s="9" t="s">
        <v>55</v>
      </c>
    </row>
    <row r="51" spans="1:11" ht="14" x14ac:dyDescent="0.15">
      <c r="A51" s="30"/>
      <c r="B51" s="32"/>
      <c r="C51" s="34"/>
      <c r="D51" s="34"/>
      <c r="E51" s="34"/>
      <c r="F51" s="9" t="s">
        <v>56</v>
      </c>
      <c r="G51" s="32"/>
      <c r="H51" s="34"/>
      <c r="I51" s="34"/>
      <c r="J51" s="34"/>
      <c r="K51" s="9" t="s">
        <v>56</v>
      </c>
    </row>
    <row r="52" spans="1:11" ht="14" x14ac:dyDescent="0.15">
      <c r="A52" s="31"/>
      <c r="B52" s="32"/>
      <c r="C52" s="34"/>
      <c r="D52" s="34"/>
      <c r="E52" s="34"/>
      <c r="F52" s="9" t="s">
        <v>57</v>
      </c>
      <c r="G52" s="32"/>
      <c r="H52" s="34"/>
      <c r="I52" s="34"/>
      <c r="J52" s="34"/>
      <c r="K52" s="9" t="s">
        <v>57</v>
      </c>
    </row>
    <row r="53" spans="1:11" ht="14" x14ac:dyDescent="0.15">
      <c r="A53" s="29">
        <v>13</v>
      </c>
      <c r="B53" s="32" t="s">
        <v>53</v>
      </c>
      <c r="C53" s="34" t="s">
        <v>54</v>
      </c>
      <c r="D53" s="34" t="s">
        <v>54</v>
      </c>
      <c r="E53" s="34" t="s">
        <v>54</v>
      </c>
      <c r="F53" s="11" t="s">
        <v>70</v>
      </c>
      <c r="G53" s="32" t="s">
        <v>54</v>
      </c>
      <c r="H53" s="34" t="s">
        <v>54</v>
      </c>
      <c r="I53" s="34" t="s">
        <v>54</v>
      </c>
      <c r="J53" s="34" t="s">
        <v>54</v>
      </c>
      <c r="K53" s="9" t="s">
        <v>58</v>
      </c>
    </row>
    <row r="54" spans="1:11" ht="14" x14ac:dyDescent="0.15">
      <c r="A54" s="30"/>
      <c r="B54" s="32"/>
      <c r="C54" s="34"/>
      <c r="D54" s="34"/>
      <c r="E54" s="34"/>
      <c r="F54" s="9" t="s">
        <v>84</v>
      </c>
      <c r="G54" s="32"/>
      <c r="H54" s="34"/>
      <c r="I54" s="34"/>
      <c r="J54" s="34"/>
      <c r="K54" s="9" t="s">
        <v>55</v>
      </c>
    </row>
    <row r="55" spans="1:11" ht="14" x14ac:dyDescent="0.15">
      <c r="A55" s="30"/>
      <c r="B55" s="32"/>
      <c r="C55" s="34"/>
      <c r="D55" s="34"/>
      <c r="E55" s="34"/>
      <c r="F55" s="9" t="s">
        <v>56</v>
      </c>
      <c r="G55" s="32"/>
      <c r="H55" s="34"/>
      <c r="I55" s="34"/>
      <c r="J55" s="34"/>
      <c r="K55" s="9" t="s">
        <v>56</v>
      </c>
    </row>
    <row r="56" spans="1:11" ht="14" x14ac:dyDescent="0.15">
      <c r="A56" s="31"/>
      <c r="B56" s="32"/>
      <c r="C56" s="34"/>
      <c r="D56" s="34"/>
      <c r="E56" s="34"/>
      <c r="F56" s="9" t="s">
        <v>57</v>
      </c>
      <c r="G56" s="32"/>
      <c r="H56" s="34"/>
      <c r="I56" s="34"/>
      <c r="J56" s="34"/>
      <c r="K56" s="9" t="s">
        <v>57</v>
      </c>
    </row>
    <row r="57" spans="1:11" ht="14" x14ac:dyDescent="0.15">
      <c r="A57" s="29">
        <v>14</v>
      </c>
      <c r="B57" s="32" t="s">
        <v>53</v>
      </c>
      <c r="C57" s="34" t="s">
        <v>54</v>
      </c>
      <c r="D57" s="34" t="s">
        <v>54</v>
      </c>
      <c r="E57" s="34" t="s">
        <v>53</v>
      </c>
      <c r="F57" s="9" t="s">
        <v>74</v>
      </c>
      <c r="G57" s="32" t="s">
        <v>53</v>
      </c>
      <c r="H57" s="34" t="s">
        <v>54</v>
      </c>
      <c r="I57" s="34" t="s">
        <v>53</v>
      </c>
      <c r="J57" s="34" t="s">
        <v>53</v>
      </c>
      <c r="K57" s="9" t="s">
        <v>58</v>
      </c>
    </row>
    <row r="58" spans="1:11" ht="14" x14ac:dyDescent="0.15">
      <c r="A58" s="30"/>
      <c r="B58" s="32"/>
      <c r="C58" s="34"/>
      <c r="D58" s="34"/>
      <c r="E58" s="34"/>
      <c r="F58" s="9" t="s">
        <v>85</v>
      </c>
      <c r="G58" s="32"/>
      <c r="H58" s="34"/>
      <c r="I58" s="34"/>
      <c r="J58" s="34"/>
      <c r="K58" s="9" t="s">
        <v>55</v>
      </c>
    </row>
    <row r="59" spans="1:11" ht="42" x14ac:dyDescent="0.15">
      <c r="A59" s="30"/>
      <c r="B59" s="32"/>
      <c r="C59" s="34"/>
      <c r="D59" s="34"/>
      <c r="E59" s="34"/>
      <c r="F59" s="9" t="s">
        <v>56</v>
      </c>
      <c r="G59" s="32"/>
      <c r="H59" s="34"/>
      <c r="I59" s="34"/>
      <c r="J59" s="34"/>
      <c r="K59" s="9" t="s">
        <v>105</v>
      </c>
    </row>
    <row r="60" spans="1:11" ht="14" x14ac:dyDescent="0.15">
      <c r="A60" s="31"/>
      <c r="B60" s="32"/>
      <c r="C60" s="34"/>
      <c r="D60" s="34"/>
      <c r="E60" s="34"/>
      <c r="F60" s="9" t="s">
        <v>57</v>
      </c>
      <c r="G60" s="32"/>
      <c r="H60" s="34"/>
      <c r="I60" s="34"/>
      <c r="J60" s="34"/>
      <c r="K60" s="9" t="s">
        <v>57</v>
      </c>
    </row>
    <row r="61" spans="1:11" ht="14" x14ac:dyDescent="0.15">
      <c r="A61" s="29">
        <v>15</v>
      </c>
      <c r="B61" s="32" t="s">
        <v>53</v>
      </c>
      <c r="C61" s="34" t="s">
        <v>54</v>
      </c>
      <c r="D61" s="34" t="s">
        <v>54</v>
      </c>
      <c r="E61" s="34" t="s">
        <v>54</v>
      </c>
      <c r="F61" s="9" t="s">
        <v>73</v>
      </c>
      <c r="G61" s="32" t="s">
        <v>53</v>
      </c>
      <c r="H61" s="34" t="s">
        <v>53</v>
      </c>
      <c r="I61" s="34" t="s">
        <v>53</v>
      </c>
      <c r="J61" s="34" t="s">
        <v>53</v>
      </c>
      <c r="K61" s="9" t="s">
        <v>58</v>
      </c>
    </row>
    <row r="62" spans="1:11" ht="14" x14ac:dyDescent="0.15">
      <c r="A62" s="30"/>
      <c r="B62" s="32"/>
      <c r="C62" s="34"/>
      <c r="D62" s="34"/>
      <c r="E62" s="34"/>
      <c r="F62" s="9" t="s">
        <v>86</v>
      </c>
      <c r="G62" s="32"/>
      <c r="H62" s="34"/>
      <c r="I62" s="34"/>
      <c r="J62" s="34"/>
      <c r="K62" s="9" t="s">
        <v>55</v>
      </c>
    </row>
    <row r="63" spans="1:11" ht="14" x14ac:dyDescent="0.15">
      <c r="A63" s="30"/>
      <c r="B63" s="32"/>
      <c r="C63" s="34"/>
      <c r="D63" s="34"/>
      <c r="E63" s="34"/>
      <c r="F63" s="9" t="s">
        <v>56</v>
      </c>
      <c r="G63" s="32"/>
      <c r="H63" s="34"/>
      <c r="I63" s="34"/>
      <c r="J63" s="34"/>
      <c r="K63" s="9" t="s">
        <v>56</v>
      </c>
    </row>
    <row r="64" spans="1:11" ht="14" x14ac:dyDescent="0.15">
      <c r="A64" s="31"/>
      <c r="B64" s="33"/>
      <c r="C64" s="35"/>
      <c r="D64" s="35"/>
      <c r="E64" s="35"/>
      <c r="F64" s="10" t="s">
        <v>57</v>
      </c>
      <c r="G64" s="33"/>
      <c r="H64" s="35"/>
      <c r="I64" s="35"/>
      <c r="J64" s="35"/>
      <c r="K64" s="10" t="s">
        <v>57</v>
      </c>
    </row>
  </sheetData>
  <mergeCells count="144">
    <mergeCell ref="G57:G60"/>
    <mergeCell ref="H57:H60"/>
    <mergeCell ref="I57:I60"/>
    <mergeCell ref="J57:J60"/>
    <mergeCell ref="G61:G64"/>
    <mergeCell ref="H61:H64"/>
    <mergeCell ref="I61:I64"/>
    <mergeCell ref="J61:J64"/>
    <mergeCell ref="G49:G52"/>
    <mergeCell ref="H49:H52"/>
    <mergeCell ref="I49:I52"/>
    <mergeCell ref="J49:J52"/>
    <mergeCell ref="G53:G56"/>
    <mergeCell ref="H53:H56"/>
    <mergeCell ref="I53:I56"/>
    <mergeCell ref="J53:J56"/>
    <mergeCell ref="G41:G44"/>
    <mergeCell ref="H41:H44"/>
    <mergeCell ref="I41:I44"/>
    <mergeCell ref="J41:J44"/>
    <mergeCell ref="G45:G48"/>
    <mergeCell ref="H45:H48"/>
    <mergeCell ref="I45:I48"/>
    <mergeCell ref="J45:J48"/>
    <mergeCell ref="G33:G36"/>
    <mergeCell ref="H33:H36"/>
    <mergeCell ref="I33:I36"/>
    <mergeCell ref="J33:J36"/>
    <mergeCell ref="G37:G40"/>
    <mergeCell ref="H37:H40"/>
    <mergeCell ref="I37:I40"/>
    <mergeCell ref="J37:J40"/>
    <mergeCell ref="G25:G28"/>
    <mergeCell ref="H25:H28"/>
    <mergeCell ref="I25:I28"/>
    <mergeCell ref="J25:J28"/>
    <mergeCell ref="G29:G32"/>
    <mergeCell ref="H29:H32"/>
    <mergeCell ref="I29:I32"/>
    <mergeCell ref="J29:J32"/>
    <mergeCell ref="G17:G20"/>
    <mergeCell ref="H17:H20"/>
    <mergeCell ref="I17:I20"/>
    <mergeCell ref="J17:J20"/>
    <mergeCell ref="G21:G24"/>
    <mergeCell ref="H21:H24"/>
    <mergeCell ref="I21:I24"/>
    <mergeCell ref="J21:J24"/>
    <mergeCell ref="G9:G12"/>
    <mergeCell ref="H9:H12"/>
    <mergeCell ref="I9:I12"/>
    <mergeCell ref="J9:J12"/>
    <mergeCell ref="G13:G16"/>
    <mergeCell ref="H13:H16"/>
    <mergeCell ref="I13:I16"/>
    <mergeCell ref="J13:J16"/>
    <mergeCell ref="B2:F2"/>
    <mergeCell ref="G3:H3"/>
    <mergeCell ref="I3:J3"/>
    <mergeCell ref="E9:E12"/>
    <mergeCell ref="K3:K4"/>
    <mergeCell ref="G5:G8"/>
    <mergeCell ref="H5:H8"/>
    <mergeCell ref="I5:I8"/>
    <mergeCell ref="J5:J8"/>
    <mergeCell ref="G2:K2"/>
    <mergeCell ref="B3:C3"/>
    <mergeCell ref="D3:E3"/>
    <mergeCell ref="A3:A4"/>
    <mergeCell ref="F3:F4"/>
    <mergeCell ref="A13:A16"/>
    <mergeCell ref="B13:B16"/>
    <mergeCell ref="C13:C16"/>
    <mergeCell ref="D13:D16"/>
    <mergeCell ref="E13:E16"/>
    <mergeCell ref="A5:A8"/>
    <mergeCell ref="A21:A24"/>
    <mergeCell ref="B21:B24"/>
    <mergeCell ref="C21:C24"/>
    <mergeCell ref="D21:D24"/>
    <mergeCell ref="E21:E24"/>
    <mergeCell ref="A17:A20"/>
    <mergeCell ref="B17:B20"/>
    <mergeCell ref="C17:C20"/>
    <mergeCell ref="D17:D20"/>
    <mergeCell ref="E17:E20"/>
    <mergeCell ref="B5:B8"/>
    <mergeCell ref="C5:C8"/>
    <mergeCell ref="D5:D8"/>
    <mergeCell ref="E5:E8"/>
    <mergeCell ref="A9:A12"/>
    <mergeCell ref="B9:B12"/>
    <mergeCell ref="C9:C12"/>
    <mergeCell ref="D9:D12"/>
    <mergeCell ref="A29:A32"/>
    <mergeCell ref="B29:B32"/>
    <mergeCell ref="C29:C32"/>
    <mergeCell ref="D29:D32"/>
    <mergeCell ref="E29:E32"/>
    <mergeCell ref="A25:A28"/>
    <mergeCell ref="B25:B28"/>
    <mergeCell ref="C25:C28"/>
    <mergeCell ref="D25:D28"/>
    <mergeCell ref="E25:E28"/>
    <mergeCell ref="A37:A40"/>
    <mergeCell ref="B37:B40"/>
    <mergeCell ref="C37:C40"/>
    <mergeCell ref="D37:D40"/>
    <mergeCell ref="E37:E40"/>
    <mergeCell ref="A33:A36"/>
    <mergeCell ref="B33:B36"/>
    <mergeCell ref="C33:C36"/>
    <mergeCell ref="D33:D36"/>
    <mergeCell ref="E33:E36"/>
    <mergeCell ref="A45:A48"/>
    <mergeCell ref="B45:B48"/>
    <mergeCell ref="C45:C48"/>
    <mergeCell ref="D45:D48"/>
    <mergeCell ref="E45:E48"/>
    <mergeCell ref="A41:A44"/>
    <mergeCell ref="B41:B44"/>
    <mergeCell ref="C41:C44"/>
    <mergeCell ref="E41:E44"/>
    <mergeCell ref="D41:D44"/>
    <mergeCell ref="A53:A56"/>
    <mergeCell ref="B53:B56"/>
    <mergeCell ref="C53:C56"/>
    <mergeCell ref="D53:D56"/>
    <mergeCell ref="E53:E56"/>
    <mergeCell ref="A49:A52"/>
    <mergeCell ref="B49:B52"/>
    <mergeCell ref="C49:C52"/>
    <mergeCell ref="D49:D52"/>
    <mergeCell ref="E49:E52"/>
    <mergeCell ref="A61:A64"/>
    <mergeCell ref="B61:B64"/>
    <mergeCell ref="C61:C64"/>
    <mergeCell ref="D61:D64"/>
    <mergeCell ref="E61:E64"/>
    <mergeCell ref="A57:A60"/>
    <mergeCell ref="B57:B60"/>
    <mergeCell ref="C57:C60"/>
    <mergeCell ref="D57:D60"/>
    <mergeCell ref="E57:E6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12409-1330-4547-82DA-5BA50D4F7AB8}">
  <dimension ref="B2:L13"/>
  <sheetViews>
    <sheetView zoomScale="140" zoomScaleNormal="140" workbookViewId="0">
      <selection activeCell="I19" sqref="I19"/>
    </sheetView>
  </sheetViews>
  <sheetFormatPr baseColWidth="10" defaultRowHeight="13" x14ac:dyDescent="0.15"/>
  <cols>
    <col min="4" max="4" width="5.1640625" customWidth="1"/>
    <col min="6" max="6" width="14.1640625" customWidth="1"/>
    <col min="10" max="10" width="4.6640625" customWidth="1"/>
  </cols>
  <sheetData>
    <row r="2" spans="2:12" x14ac:dyDescent="0.15">
      <c r="B2" s="26" t="s">
        <v>89</v>
      </c>
      <c r="C2" s="27"/>
      <c r="D2" s="27"/>
      <c r="E2" s="27"/>
      <c r="F2" s="28"/>
      <c r="H2" s="19" t="s">
        <v>90</v>
      </c>
      <c r="I2" s="20"/>
      <c r="J2" s="20"/>
      <c r="K2" s="20"/>
      <c r="L2" s="21"/>
    </row>
    <row r="3" spans="2:12" x14ac:dyDescent="0.15">
      <c r="B3" s="13"/>
      <c r="C3" s="13"/>
      <c r="D3" s="13"/>
      <c r="E3" s="13"/>
      <c r="F3" s="13"/>
      <c r="H3" s="16"/>
      <c r="I3" s="16"/>
      <c r="J3" s="16"/>
      <c r="K3" s="16"/>
      <c r="L3" s="16"/>
    </row>
    <row r="4" spans="2:12" ht="27" customHeight="1" x14ac:dyDescent="0.15">
      <c r="B4" s="24" t="s">
        <v>75</v>
      </c>
      <c r="C4" s="25"/>
      <c r="D4" s="13"/>
      <c r="E4" s="24" t="s">
        <v>76</v>
      </c>
      <c r="F4" s="25"/>
      <c r="H4" s="22" t="s">
        <v>75</v>
      </c>
      <c r="I4" s="23"/>
      <c r="J4" s="16"/>
      <c r="K4" s="22" t="s">
        <v>76</v>
      </c>
      <c r="L4" s="23"/>
    </row>
    <row r="5" spans="2:12" x14ac:dyDescent="0.15">
      <c r="B5" s="14" t="s">
        <v>53</v>
      </c>
      <c r="C5" s="14" t="s">
        <v>54</v>
      </c>
      <c r="D5" s="13"/>
      <c r="E5" s="14" t="s">
        <v>53</v>
      </c>
      <c r="F5" s="14" t="s">
        <v>54</v>
      </c>
      <c r="H5" s="17" t="s">
        <v>53</v>
      </c>
      <c r="I5" s="17" t="s">
        <v>54</v>
      </c>
      <c r="J5" s="16"/>
      <c r="K5" s="17" t="s">
        <v>53</v>
      </c>
      <c r="L5" s="17" t="s">
        <v>54</v>
      </c>
    </row>
    <row r="6" spans="2:12" x14ac:dyDescent="0.15">
      <c r="B6" s="15">
        <f>COUNTIF(Resultados!B$5:B$64,"Ok")/(COUNT('Casos de Regatas y sus Títulos'!A$3:A$17))</f>
        <v>0.8</v>
      </c>
      <c r="C6" s="15">
        <f>COUNTIF(Resultados!B$5:B$64,"Falla")/(COUNT('Casos de Regatas y sus Títulos'!A$3:A$17))</f>
        <v>0.2</v>
      </c>
      <c r="D6" s="13"/>
      <c r="E6" s="15">
        <f>COUNTIF(Resultados!C$5:C$64,"Ok")/(COUNT('Casos de Regatas y sus Títulos'!A$3:A$17))</f>
        <v>0.53333333333333333</v>
      </c>
      <c r="F6" s="15">
        <f>COUNTIF(Resultados!C$5:C$64,"Falla")/(COUNT('Casos de Regatas y sus Títulos'!A$3:A$17))</f>
        <v>0.46666666666666667</v>
      </c>
      <c r="H6" s="18">
        <f>COUNTIF(Resultados!G$5:G$64,"Ok")/(COUNT('Casos de Regatas y sus Títulos'!A$3:A$17))</f>
        <v>0.66666666666666663</v>
      </c>
      <c r="I6" s="18">
        <f>COUNTIF(Resultados!G$5:G$64,"Falla")/(COUNT('Casos de Regatas y sus Títulos'!A$3:A$17))</f>
        <v>0.33333333333333331</v>
      </c>
      <c r="J6" s="16"/>
      <c r="K6" s="18">
        <f>COUNTIF(Resultados!H$5:H$64,"Ok")/(COUNT('Casos de Regatas y sus Títulos'!A$3:A$17))</f>
        <v>0.53333333333333333</v>
      </c>
      <c r="L6" s="18">
        <f>COUNTIF(Resultados!H$5:H$64,"Falla")/(COUNT('Casos de Regatas y sus Títulos'!A$3:A$17))</f>
        <v>0.46666666666666667</v>
      </c>
    </row>
    <row r="7" spans="2:12" x14ac:dyDescent="0.15">
      <c r="B7" s="13"/>
      <c r="C7" s="13"/>
      <c r="D7" s="13"/>
      <c r="E7" s="13"/>
      <c r="F7" s="13"/>
      <c r="H7" s="16"/>
      <c r="I7" s="16"/>
      <c r="J7" s="16"/>
      <c r="K7" s="16"/>
      <c r="L7" s="16"/>
    </row>
    <row r="8" spans="2:12" x14ac:dyDescent="0.15">
      <c r="B8" s="13"/>
      <c r="C8" s="13"/>
      <c r="D8" s="13"/>
      <c r="E8" s="13"/>
      <c r="F8" s="13"/>
      <c r="H8" s="16"/>
      <c r="I8" s="16"/>
      <c r="J8" s="16"/>
      <c r="K8" s="16"/>
      <c r="L8" s="16"/>
    </row>
    <row r="9" spans="2:12" ht="28" customHeight="1" x14ac:dyDescent="0.15">
      <c r="B9" s="24" t="s">
        <v>87</v>
      </c>
      <c r="C9" s="25"/>
      <c r="D9" s="13"/>
      <c r="E9" s="24" t="s">
        <v>88</v>
      </c>
      <c r="F9" s="25"/>
      <c r="H9" s="22" t="s">
        <v>87</v>
      </c>
      <c r="I9" s="23"/>
      <c r="J9" s="16"/>
      <c r="K9" s="22" t="s">
        <v>88</v>
      </c>
      <c r="L9" s="23"/>
    </row>
    <row r="10" spans="2:12" x14ac:dyDescent="0.15">
      <c r="B10" s="14" t="s">
        <v>53</v>
      </c>
      <c r="C10" s="14" t="s">
        <v>54</v>
      </c>
      <c r="D10" s="13"/>
      <c r="E10" s="14" t="s">
        <v>53</v>
      </c>
      <c r="F10" s="14" t="s">
        <v>54</v>
      </c>
      <c r="H10" s="17" t="s">
        <v>53</v>
      </c>
      <c r="I10" s="17" t="s">
        <v>54</v>
      </c>
      <c r="J10" s="16"/>
      <c r="K10" s="17" t="s">
        <v>53</v>
      </c>
      <c r="L10" s="17" t="s">
        <v>54</v>
      </c>
    </row>
    <row r="11" spans="2:12" x14ac:dyDescent="0.15">
      <c r="B11" s="15">
        <f>COUNTIF(Resultados!D$5:D$64,"Ok")/(COUNT('Casos de Regatas y sus Títulos'!A$3:A$17))</f>
        <v>0.46666666666666667</v>
      </c>
      <c r="C11" s="15">
        <f>COUNTIF(Resultados!D$5:D$64,"Falla")/(COUNT('Casos de Regatas y sus Títulos'!A$3:A$17))</f>
        <v>0.53333333333333333</v>
      </c>
      <c r="D11" s="13"/>
      <c r="E11" s="15">
        <f>COUNTIF(Resultados!E$5:E$64,"Ok")/(COUNT('Casos de Regatas y sus Títulos'!A$3:A$17))</f>
        <v>0.46666666666666667</v>
      </c>
      <c r="F11" s="15">
        <f>COUNTIF(Resultados!E$5:E$64,"Falla")/(COUNT('Casos de Regatas y sus Títulos'!A$3:A$17))</f>
        <v>0.53333333333333333</v>
      </c>
      <c r="H11" s="18">
        <f>COUNTIF(Resultados!I$5:I$64,"Ok")/(COUNT('Casos de Regatas y sus Títulos'!A$3:A$17))</f>
        <v>0.73333333333333328</v>
      </c>
      <c r="I11" s="18">
        <f>COUNTIF(Resultados!I$5:I$64,"Falla")/(COUNT('Casos de Regatas y sus Títulos'!A$3:A$17))</f>
        <v>0.26666666666666666</v>
      </c>
      <c r="J11" s="16"/>
      <c r="K11" s="18">
        <f>COUNTIF(Resultados!J$5:J$64,"Ok")/(COUNT('Casos de Regatas y sus Títulos'!A$3:A$17))</f>
        <v>0.66666666666666663</v>
      </c>
      <c r="L11" s="18">
        <f>COUNTIF(Resultados!J$5:J$64,"Falla")/(COUNT('Casos de Regatas y sus Títulos'!A$3:A$17))</f>
        <v>0.33333333333333331</v>
      </c>
    </row>
    <row r="13" spans="2:12" x14ac:dyDescent="0.15">
      <c r="J13" s="7"/>
    </row>
  </sheetData>
  <mergeCells count="10">
    <mergeCell ref="B4:C4"/>
    <mergeCell ref="E4:F4"/>
    <mergeCell ref="B9:C9"/>
    <mergeCell ref="E9:F9"/>
    <mergeCell ref="B2:F2"/>
    <mergeCell ref="H2:L2"/>
    <mergeCell ref="H4:I4"/>
    <mergeCell ref="K4:L4"/>
    <mergeCell ref="H9:I9"/>
    <mergeCell ref="K9:L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011E3-ACF6-1543-9486-00BE9BEF8B0A}">
  <dimension ref="D5:D28"/>
  <sheetViews>
    <sheetView topLeftCell="A10" zoomScale="219" zoomScaleNormal="219" workbookViewId="0">
      <selection activeCell="D29" sqref="D29"/>
    </sheetView>
  </sheetViews>
  <sheetFormatPr baseColWidth="10" defaultRowHeight="13" x14ac:dyDescent="0.15"/>
  <sheetData>
    <row r="5" spans="4:4" x14ac:dyDescent="0.15">
      <c r="D5" s="1" t="s">
        <v>59</v>
      </c>
    </row>
    <row r="7" spans="4:4" x14ac:dyDescent="0.15">
      <c r="D7" s="1" t="s">
        <v>94</v>
      </c>
    </row>
    <row r="9" spans="4:4" x14ac:dyDescent="0.15">
      <c r="D9" s="1" t="s">
        <v>95</v>
      </c>
    </row>
    <row r="15" spans="4:4" x14ac:dyDescent="0.15">
      <c r="D15" s="1" t="s">
        <v>99</v>
      </c>
    </row>
    <row r="17" spans="4:4" x14ac:dyDescent="0.15">
      <c r="D17" s="1" t="s">
        <v>100</v>
      </c>
    </row>
    <row r="19" spans="4:4" x14ac:dyDescent="0.15">
      <c r="D19" s="1" t="s">
        <v>101</v>
      </c>
    </row>
    <row r="21" spans="4:4" x14ac:dyDescent="0.15">
      <c r="D21" s="1" t="s">
        <v>102</v>
      </c>
    </row>
    <row r="26" spans="4:4" x14ac:dyDescent="0.15">
      <c r="D26" s="1" t="s">
        <v>103</v>
      </c>
    </row>
    <row r="28" spans="4:4" x14ac:dyDescent="0.15">
      <c r="D28" s="1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Casos de Regatas y sus Títulos</vt:lpstr>
      <vt:lpstr>Resultados</vt:lpstr>
      <vt:lpstr>Análisis</vt:lpstr>
      <vt:lpstr>Comentarios generales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Luna</cp:lastModifiedBy>
  <dcterms:modified xsi:type="dcterms:W3CDTF">2026-06-05T14:15:43Z</dcterms:modified>
</cp:coreProperties>
</file>